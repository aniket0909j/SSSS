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0" windowWidth="23040" windowHeight="9075" activeTab="7"/>
  </bookViews>
  <sheets>
    <sheet name="Pract_1" sheetId="2" r:id="rId1"/>
    <sheet name="Pract_2" sheetId="1" r:id="rId2"/>
    <sheet name="Pract_3" sheetId="3" r:id="rId3"/>
    <sheet name="Pract_4" sheetId="4" r:id="rId4"/>
    <sheet name="PRACT_5" sheetId="5" r:id="rId5"/>
    <sheet name="Pract-6" sheetId="11" r:id="rId6"/>
    <sheet name="Pract-7" sheetId="12" r:id="rId7"/>
    <sheet name="Pract-8" sheetId="6" r:id="rId8"/>
    <sheet name="Pract-9" sheetId="13" r:id="rId9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9" i="6"/>
  <c r="E37"/>
  <c r="F35"/>
  <c r="C27"/>
  <c r="C20"/>
  <c r="C21"/>
  <c r="C22"/>
  <c r="C23"/>
  <c r="C24"/>
  <c r="C25"/>
  <c r="C26"/>
  <c r="C19"/>
  <c r="E16"/>
  <c r="C20" i="13"/>
  <c r="C21"/>
  <c r="B26" s="1"/>
  <c r="C28"/>
  <c r="D17" i="12"/>
  <c r="E17" s="1"/>
  <c r="E21" s="1"/>
  <c r="D18"/>
  <c r="E18" s="1"/>
  <c r="D19"/>
  <c r="E19" s="1"/>
  <c r="D20"/>
  <c r="E20" s="1"/>
  <c r="C21"/>
  <c r="D27"/>
  <c r="E45"/>
  <c r="F45" s="1"/>
  <c r="F49" s="1"/>
  <c r="E46"/>
  <c r="F46" s="1"/>
  <c r="E47"/>
  <c r="F47" s="1"/>
  <c r="E48"/>
  <c r="F48"/>
  <c r="C49"/>
  <c r="D53"/>
  <c r="D78"/>
  <c r="D83" s="1"/>
  <c r="C85" s="1"/>
  <c r="E78"/>
  <c r="F78" s="1"/>
  <c r="G78" s="1"/>
  <c r="D79"/>
  <c r="E79"/>
  <c r="F79" s="1"/>
  <c r="G79" s="1"/>
  <c r="D80"/>
  <c r="E80"/>
  <c r="F80" s="1"/>
  <c r="G80" s="1"/>
  <c r="D81"/>
  <c r="E81"/>
  <c r="F81" s="1"/>
  <c r="G81" s="1"/>
  <c r="D82"/>
  <c r="E82"/>
  <c r="F82" s="1"/>
  <c r="G82" s="1"/>
  <c r="C83"/>
  <c r="D88"/>
  <c r="E88"/>
  <c r="F88" s="1"/>
  <c r="G88" s="1"/>
  <c r="G92" s="1"/>
  <c r="D89"/>
  <c r="E89"/>
  <c r="F89" s="1"/>
  <c r="G89" s="1"/>
  <c r="D90"/>
  <c r="E90"/>
  <c r="F90" s="1"/>
  <c r="G90" s="1"/>
  <c r="D91"/>
  <c r="E91"/>
  <c r="F91" s="1"/>
  <c r="G91" s="1"/>
  <c r="E92"/>
  <c r="D96"/>
  <c r="D97"/>
  <c r="D103"/>
  <c r="D104"/>
  <c r="D107" s="1"/>
  <c r="D118" s="1"/>
  <c r="D119" s="1"/>
  <c r="D105"/>
  <c r="D106"/>
  <c r="D116"/>
  <c r="D122"/>
  <c r="E122"/>
  <c r="F122" s="1"/>
  <c r="D123"/>
  <c r="E123" s="1"/>
  <c r="D124"/>
  <c r="E124"/>
  <c r="F124" s="1"/>
  <c r="D125"/>
  <c r="E125" s="1"/>
  <c r="F125" s="1"/>
  <c r="C126"/>
  <c r="D129"/>
  <c r="D130"/>
  <c r="D149"/>
  <c r="E149" s="1"/>
  <c r="F149" s="1"/>
  <c r="F154" s="1"/>
  <c r="D150"/>
  <c r="E150" s="1"/>
  <c r="F150" s="1"/>
  <c r="D151"/>
  <c r="E151" s="1"/>
  <c r="F151" s="1"/>
  <c r="D152"/>
  <c r="E152" s="1"/>
  <c r="F152" s="1"/>
  <c r="D153"/>
  <c r="E153" s="1"/>
  <c r="F153" s="1"/>
  <c r="C154"/>
  <c r="D157"/>
  <c r="D158"/>
  <c r="D13" i="11"/>
  <c r="D15" s="1"/>
  <c r="E13"/>
  <c r="E20" s="1"/>
  <c r="E22" s="1"/>
  <c r="D14"/>
  <c r="D21" s="1"/>
  <c r="E14"/>
  <c r="E21" s="1"/>
  <c r="F123" i="12" l="1"/>
  <c r="F126" s="1"/>
  <c r="E126"/>
  <c r="G83"/>
  <c r="F21" i="11"/>
  <c r="F13"/>
  <c r="F15" s="1"/>
  <c r="F14"/>
  <c r="E15"/>
  <c r="D20"/>
  <c r="F20" l="1"/>
  <c r="F22" s="1"/>
  <c r="E26" s="1"/>
  <c r="D22"/>
  <c r="B46" i="3" l="1"/>
  <c r="B44"/>
  <c r="G38"/>
  <c r="G37"/>
  <c r="G36"/>
  <c r="G35"/>
  <c r="G34"/>
  <c r="G33"/>
  <c r="G32"/>
  <c r="C32"/>
  <c r="C19"/>
  <c r="M10"/>
  <c r="C27"/>
  <c r="E26"/>
  <c r="E27"/>
  <c r="M12"/>
  <c r="M19"/>
  <c r="C34"/>
  <c r="B49"/>
  <c r="C12"/>
  <c r="B51"/>
  <c r="C26"/>
  <c r="G39" l="1"/>
  <c r="B53" i="2"/>
  <c r="D47"/>
  <c r="D46"/>
  <c r="D45"/>
  <c r="D44"/>
  <c r="B69" s="1"/>
  <c r="M14"/>
  <c r="M12"/>
  <c r="L22" s="1"/>
  <c r="M7"/>
  <c r="M3"/>
  <c r="B14"/>
  <c r="C7"/>
  <c r="B22"/>
  <c r="C3"/>
  <c r="B30" s="1"/>
  <c r="D13" i="1"/>
  <c r="B21" s="1"/>
  <c r="B72"/>
  <c r="B71"/>
  <c r="B58"/>
  <c r="B56"/>
  <c r="D56" s="1"/>
  <c r="B64" l="1"/>
  <c r="B29" i="2"/>
  <c r="B12"/>
  <c r="B68"/>
  <c r="B50"/>
  <c r="B61" s="1"/>
  <c r="J13" i="1"/>
  <c r="B13"/>
  <c r="B15"/>
  <c r="B28"/>
  <c r="J15"/>
  <c r="J21"/>
  <c r="J29"/>
  <c r="B29"/>
  <c r="J28"/>
</calcChain>
</file>

<file path=xl/sharedStrings.xml><?xml version="1.0" encoding="utf-8"?>
<sst xmlns="http://schemas.openxmlformats.org/spreadsheetml/2006/main" count="488" uniqueCount="289">
  <si>
    <t>mean</t>
  </si>
  <si>
    <t>s.d</t>
  </si>
  <si>
    <t>n</t>
  </si>
  <si>
    <t>l.o.s</t>
  </si>
  <si>
    <t xml:space="preserve">Q.1 </t>
  </si>
  <si>
    <t>Null Hypothesis</t>
  </si>
  <si>
    <t>alternative hypothesis</t>
  </si>
  <si>
    <t>Ho:μ=μ0=2</t>
  </si>
  <si>
    <r>
      <t>H1:μ</t>
    </r>
    <r>
      <rPr>
        <sz val="11"/>
        <color theme="1"/>
        <rFont val="Calibri"/>
        <family val="2"/>
      </rPr>
      <t>≠μ0≠2</t>
    </r>
  </si>
  <si>
    <t>Z statistic:</t>
  </si>
  <si>
    <t>specified value(μ0)</t>
  </si>
  <si>
    <t>(Mean-specifide value)/(s.d/sqrt(n))</t>
  </si>
  <si>
    <t>Z table :</t>
  </si>
  <si>
    <t>NORM.S.INV(1 - α/2)</t>
  </si>
  <si>
    <t xml:space="preserve">I Z statistic I &gt; z table </t>
  </si>
  <si>
    <t>Conclusion : Machine does not work properly.</t>
  </si>
  <si>
    <t xml:space="preserve">P value: </t>
  </si>
  <si>
    <t>2*(1 - NORM.S.DIST(ABS(Z), TRUE))</t>
  </si>
  <si>
    <t>p&lt;0.05</t>
  </si>
  <si>
    <t>we reject null hypothesis</t>
  </si>
  <si>
    <t>Confidence Interval:</t>
  </si>
  <si>
    <t>Lower CI: =A1 - NORM.S.INV(1 - A5/2) * (A3/SQRT(A4))</t>
  </si>
  <si>
    <t>Upper CI: =A1 + NORM.S.INV(1 - A5/2) * (A3/SQRT(A4))</t>
  </si>
  <si>
    <t>(1.92040036,1.95959964)</t>
  </si>
  <si>
    <t>specified value(μ0)=2 does not lie in confidence interval.</t>
  </si>
  <si>
    <t>we reject H0.</t>
  </si>
  <si>
    <t>Q.2</t>
  </si>
  <si>
    <t>Q.3</t>
  </si>
  <si>
    <t>Ho:μ=μ0=13</t>
  </si>
  <si>
    <r>
      <t>H1:μ&lt;</t>
    </r>
    <r>
      <rPr>
        <sz val="11"/>
        <color theme="1"/>
        <rFont val="Calibri"/>
        <family val="2"/>
      </rPr>
      <t>μ0=13</t>
    </r>
  </si>
  <si>
    <t>NORM.S.INV( α)</t>
  </si>
  <si>
    <t>Conclusion : A sample may not coming from population with mean 13</t>
  </si>
  <si>
    <t>Q.4</t>
  </si>
  <si>
    <t>Q.5</t>
  </si>
  <si>
    <t>mean(x1)</t>
  </si>
  <si>
    <t>mean(x2)</t>
  </si>
  <si>
    <t>s.d(x1)</t>
  </si>
  <si>
    <t>s.d(x2)</t>
  </si>
  <si>
    <t>n1</t>
  </si>
  <si>
    <t>n2</t>
  </si>
  <si>
    <t>Z value: = (X̄1 - X̄2) / SQRT((σ1^2/n1) + (σ2^2/n2))</t>
  </si>
  <si>
    <t>Ho:μ1=μ2</t>
  </si>
  <si>
    <r>
      <t>H1:μ1=</t>
    </r>
    <r>
      <rPr>
        <sz val="11"/>
        <color theme="1"/>
        <rFont val="Calibri"/>
        <family val="2"/>
      </rPr>
      <t>μ2</t>
    </r>
  </si>
  <si>
    <t>Conclusion : two companies not produce bulbs of same average life.</t>
  </si>
  <si>
    <t>2*(1 - NORM.S.DIST(ABS(Z)))</t>
  </si>
  <si>
    <t>NORM.S.DIST(Z)</t>
  </si>
  <si>
    <t>p Value less than 0.05 we reject Ho</t>
  </si>
  <si>
    <t>we reject null hypothesis(H0)</t>
  </si>
  <si>
    <t>Lower CI: =( X̄1 - X̄2) - NORM.S.INV(1 - A5/2) * (SQRT((σ1^2/n1) + (σ2^2/n2))</t>
  </si>
  <si>
    <t>Upper CI: = ( X̄1 - X̄2) + NORM.S.INV(1 - A5/2) * (SQRT((σ1^2/n1) + (σ2^2/n2))</t>
  </si>
  <si>
    <t>p(x/n)</t>
  </si>
  <si>
    <t>X</t>
  </si>
  <si>
    <t>Po</t>
  </si>
  <si>
    <t>α</t>
  </si>
  <si>
    <t>H₀: P = P₀</t>
  </si>
  <si>
    <t>Null hypothesis</t>
  </si>
  <si>
    <t>Alternative Hypothesis</t>
  </si>
  <si>
    <t xml:space="preserve">H1:P ≠ P₀ </t>
  </si>
  <si>
    <t>(p-Po)/Sqrt(PoQo/n)</t>
  </si>
  <si>
    <t>Z statistics:</t>
  </si>
  <si>
    <t>Qo=1-Po</t>
  </si>
  <si>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mbria"/>
        <family val="1"/>
      </rPr>
      <t>Two-tailed test (H₁: P ≠ P₀)</t>
    </r>
  </si>
  <si>
    <t>P value</t>
  </si>
  <si>
    <r>
      <t xml:space="preserve">Two-tailed:   =NORM.S.INV(1 - </t>
    </r>
    <r>
      <rPr>
        <sz val="11"/>
        <color theme="1"/>
        <rFont val="Calibri"/>
        <family val="2"/>
      </rPr>
      <t>α</t>
    </r>
    <r>
      <rPr>
        <sz val="11"/>
        <color theme="1"/>
        <rFont val="Cambria"/>
        <family val="1"/>
      </rPr>
      <t>/2)</t>
    </r>
  </si>
  <si>
    <t xml:space="preserve">I Z statistic I &lt; z table </t>
  </si>
  <si>
    <t>we accept  null hypothesis</t>
  </si>
  <si>
    <t>Conclusion :The coin may regarded as fair.</t>
  </si>
  <si>
    <t>p&gt;0.05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</si>
  <si>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mbria"/>
        <family val="1"/>
      </rPr>
      <t xml:space="preserve">Lower CI: = p- NORM.S.INV(1 - </t>
    </r>
    <r>
      <rPr>
        <sz val="11"/>
        <color theme="1"/>
        <rFont val="Calibri"/>
        <family val="2"/>
      </rPr>
      <t>α</t>
    </r>
    <r>
      <rPr>
        <sz val="11"/>
        <color theme="1"/>
        <rFont val="Cambria"/>
        <family val="1"/>
      </rPr>
      <t>/2) * SQRT(p*(1 - p)/n)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</si>
  <si>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mbria"/>
        <family val="1"/>
      </rPr>
      <t>Upper CI: = p- NORM.S.INV(1 - α/2) * SQRT(p*(1 - p)/n)</t>
    </r>
  </si>
  <si>
    <t>specified value(P0)=0.5   lie in confidence interval.</t>
  </si>
  <si>
    <t>we accept H0.</t>
  </si>
  <si>
    <t xml:space="preserve">H1:P &lt; P₀ </t>
  </si>
  <si>
    <r>
      <t>Z&lt;-Z</t>
    </r>
    <r>
      <rPr>
        <sz val="11"/>
        <color theme="1"/>
        <rFont val="Calibri"/>
        <family val="2"/>
      </rPr>
      <t>α</t>
    </r>
  </si>
  <si>
    <t>We regect null hypothesis</t>
  </si>
  <si>
    <r>
      <t>·</t>
    </r>
    <r>
      <rPr>
        <sz val="7"/>
        <color theme="1"/>
        <rFont val="Times New Roman"/>
        <family val="1"/>
      </rPr>
      <t>   </t>
    </r>
    <r>
      <rPr>
        <sz val="11"/>
        <color theme="1"/>
        <rFont val="Cambria"/>
        <family val="1"/>
      </rPr>
      <t>Left-tailed test (H₁: P &lt; P₀):   =NORM.S.DIST(B5,TRUE)</t>
    </r>
  </si>
  <si>
    <r>
      <t>NORM.S.DIST(</t>
    </r>
    <r>
      <rPr>
        <sz val="11"/>
        <color theme="1"/>
        <rFont val="Calibri"/>
        <family val="2"/>
      </rPr>
      <t>α</t>
    </r>
    <r>
      <rPr>
        <sz val="11"/>
        <color theme="1"/>
        <rFont val="Calibri"/>
        <family val="2"/>
        <scheme val="minor"/>
      </rPr>
      <t>,TRUE)</t>
    </r>
  </si>
  <si>
    <t>we reject  null hypothesis</t>
  </si>
  <si>
    <r>
      <t xml:space="preserve">the true pass rate is </t>
    </r>
    <r>
      <rPr>
        <sz val="11"/>
        <color theme="1"/>
        <rFont val="Calibri"/>
        <family val="2"/>
        <scheme val="minor"/>
      </rPr>
      <t>less than</t>
    </r>
    <r>
      <rPr>
        <sz val="11"/>
        <color theme="1"/>
        <rFont val="Calibri"/>
        <family val="2"/>
        <scheme val="minor"/>
      </rPr>
      <t xml:space="preserve"> the claimed 85%.</t>
    </r>
  </si>
  <si>
    <t>Conclusion :</t>
  </si>
  <si>
    <t>x1</t>
  </si>
  <si>
    <t>x2</t>
  </si>
  <si>
    <t>H₀: p1 = p2</t>
  </si>
  <si>
    <t xml:space="preserve">H1:p1 ≠ p2 </t>
  </si>
  <si>
    <t>p1</t>
  </si>
  <si>
    <t>x1/n1</t>
  </si>
  <si>
    <t>p2</t>
  </si>
  <si>
    <t>x2/n2</t>
  </si>
  <si>
    <t>P</t>
  </si>
  <si>
    <t>(x1+x2)/(n1+n2)</t>
  </si>
  <si>
    <t>Q</t>
  </si>
  <si>
    <t>1-P</t>
  </si>
  <si>
    <t>(p1-p2)/Sqrt(P*Q*((1/n1)+(1/n2)))</t>
  </si>
  <si>
    <r>
      <t>2*(1 - NORM.S.DIST(ABS(Z</t>
    </r>
    <r>
      <rPr>
        <sz val="11"/>
        <color theme="1"/>
        <rFont val="Calibri"/>
        <family val="2"/>
        <scheme val="minor"/>
      </rPr>
      <t>),TRUE)))</t>
    </r>
  </si>
  <si>
    <r>
      <t>• Left-tailed:  =NORM.S.INV(</t>
    </r>
    <r>
      <rPr>
        <sz val="11"/>
        <color theme="1"/>
        <rFont val="Calibri"/>
        <family val="2"/>
      </rPr>
      <t>α</t>
    </r>
    <r>
      <rPr>
        <sz val="11"/>
        <color theme="1"/>
        <rFont val="Cambria"/>
        <family val="1"/>
      </rPr>
      <t>)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</si>
  <si>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mbria"/>
        <family val="1"/>
      </rPr>
      <t xml:space="preserve">Lower CI: = (p1-p2)- NORM.S.INV(1 - </t>
    </r>
    <r>
      <rPr>
        <sz val="11"/>
        <color theme="1"/>
        <rFont val="Calibri"/>
        <family val="2"/>
      </rPr>
      <t>α</t>
    </r>
    <r>
      <rPr>
        <sz val="11"/>
        <color theme="1"/>
        <rFont val="Cambria"/>
        <family val="1"/>
      </rPr>
      <t>/2) * SQRT(P*Q*((1/n1)+(1/n2)))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</si>
  <si>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mbria"/>
        <family val="1"/>
      </rPr>
      <t>Upper CI: = ( p1-p2)+NORM.S.INV(1 - α/2) * SQRT(P*Q*((1/n1)+(1/n2)))</t>
    </r>
  </si>
  <si>
    <t>0 value does not lie in confidence interval.</t>
  </si>
  <si>
    <t>In random sample of 800 persons from rural area 200 were found to be smokers. In a sample of 1000 persons from urban area 350 were found to  be smokers.Test whether. Find 95% confidence interval for the difference of proportion smokers in rural and urban area.</t>
  </si>
  <si>
    <t>the proportion of smoker  in rural area is not same same as proportion of smoker in urban area.</t>
  </si>
  <si>
    <t>Q.1</t>
  </si>
  <si>
    <t>Sample Mean (x̄)</t>
  </si>
  <si>
    <t xml:space="preserve"> (μ0)</t>
  </si>
  <si>
    <t xml:space="preserve"> SD (σ)</t>
  </si>
  <si>
    <t>Sample Size (n)</t>
  </si>
  <si>
    <t>Significance Level (α)</t>
  </si>
  <si>
    <r>
      <t>Ho:μ=μ0  vs     H1:μ</t>
    </r>
    <r>
      <rPr>
        <b/>
        <sz val="12"/>
        <color theme="1"/>
        <rFont val="Calibri"/>
        <family val="2"/>
      </rPr>
      <t>≠</t>
    </r>
    <r>
      <rPr>
        <b/>
        <sz val="12"/>
        <color theme="1"/>
        <rFont val="Times New Roman"/>
        <family val="1"/>
      </rPr>
      <t xml:space="preserve">μ0   </t>
    </r>
  </si>
  <si>
    <t xml:space="preserve">Test Statistic </t>
  </si>
  <si>
    <t>Z = ( x̄ - μ₀ ) / ( σ / √n )</t>
  </si>
  <si>
    <t>Table Value</t>
  </si>
  <si>
    <t>NORM.S.INV(1-α/2)</t>
  </si>
  <si>
    <r>
      <t xml:space="preserve">At 5% level, there is </t>
    </r>
    <r>
      <rPr>
        <b/>
        <sz val="11"/>
        <color theme="1"/>
        <rFont val="Calibri"/>
        <family val="2"/>
        <scheme val="minor"/>
      </rPr>
      <t>no significant evidence</t>
    </r>
    <r>
      <rPr>
        <sz val="11"/>
        <color theme="1"/>
        <rFont val="Calibri"/>
        <family val="2"/>
        <scheme val="minor"/>
      </rPr>
      <t xml:space="preserve"> that the mean diameter differs from 10 mm. The claim is acceptable</t>
    </r>
  </si>
  <si>
    <t>Lower CI: =mean(x̄) - NORM.S.INV(1 - α/2) * (σ/SQRT(n))</t>
  </si>
  <si>
    <t>upper CI: =mean(x̄) + NORM.S.INV(1 - α/2) * (σ/SQRT(n))</t>
  </si>
  <si>
    <t>NORM.S.INV(α)</t>
  </si>
  <si>
    <t>H0:μ=50</t>
  </si>
  <si>
    <t>H1:μ&lt;50 (packets are underweight)</t>
  </si>
  <si>
    <t xml:space="preserve">Ho:μ=μ0  vs     H1:μ&lt;μ0   </t>
  </si>
  <si>
    <r>
      <t>·</t>
    </r>
    <r>
      <rPr>
        <sz val="7"/>
        <color theme="1"/>
        <rFont val="Times New Roman"/>
        <family val="1"/>
      </rPr>
      <t>   </t>
    </r>
    <r>
      <rPr>
        <sz val="11"/>
        <color theme="1"/>
        <rFont val="Cambria"/>
        <family val="1"/>
      </rPr>
      <t>Left-tailed test (H1:μ&lt;μ0   ):   =NORM.S.DIST(B5,TRUE)</t>
    </r>
  </si>
  <si>
    <t>NORM.S.DIST(z,TRUE)</t>
  </si>
  <si>
    <t>we reject   null hypothesis</t>
  </si>
  <si>
    <t>p&lt;.05</t>
  </si>
  <si>
    <r>
      <t>Conclusion:</t>
    </r>
    <r>
      <rPr>
        <sz val="11"/>
        <color theme="1"/>
        <rFont val="Calibri"/>
        <family val="2"/>
        <scheme val="minor"/>
      </rPr>
      <t xml:space="preserve"> At 5% level, there is </t>
    </r>
    <r>
      <rPr>
        <b/>
        <sz val="11"/>
        <color theme="1"/>
        <rFont val="Calibri"/>
        <family val="2"/>
        <scheme val="minor"/>
      </rPr>
      <t>enough evidence</t>
    </r>
    <r>
      <rPr>
        <sz val="11"/>
        <color theme="1"/>
        <rFont val="Calibri"/>
        <family val="2"/>
        <scheme val="minor"/>
      </rPr>
      <t xml:space="preserve"> to conclude that the packets are underweight.</t>
    </r>
  </si>
  <si>
    <t>A chemist claims that the average pH value of a solution is 7.0.The following pH readings are recorded: 6.8, 7.2, 7.1, 6.9, 7.3, 7.0, 6.7. Test at the 5% significance level whether the mean pH differs from 7.0.</t>
  </si>
  <si>
    <t>observation</t>
  </si>
  <si>
    <t>t = ( x̄ - μ₀ ) / ( s / √n )</t>
  </si>
  <si>
    <t>s = √((∑(xi-xˉ)2 )/(n-1))</t>
  </si>
  <si>
    <t>xi</t>
  </si>
  <si>
    <t>mean(x̄)</t>
  </si>
  <si>
    <t>t</t>
  </si>
  <si>
    <t xml:space="preserve"> T.INV.2T(α, n-1)</t>
  </si>
  <si>
    <t>2 * (1 - T.DIST.2T(ABS(t), n-1))</t>
  </si>
  <si>
    <t>|t_cal| ≤ t_tab →  Accept  H₀</t>
  </si>
  <si>
    <t>CI</t>
  </si>
  <si>
    <t>Practical No. 4</t>
  </si>
  <si>
    <t>Q1</t>
  </si>
  <si>
    <t xml:space="preserve">  A         </t>
  </si>
  <si>
    <t xml:space="preserve">B </t>
  </si>
  <si>
    <t>t-Test: Two-Sample Assuming Equal Variances</t>
  </si>
  <si>
    <t>Variable 1</t>
  </si>
  <si>
    <t>Variable 2</t>
  </si>
  <si>
    <t>Mean</t>
  </si>
  <si>
    <t>Variance</t>
  </si>
  <si>
    <t>Observations</t>
  </si>
  <si>
    <t>Pooled Variance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</si>
  <si>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</si>
  <si>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</si>
  <si>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</si>
  <si>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</si>
  <si>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</si>
  <si>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</si>
  <si>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</si>
  <si>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H₀ (Null hypothesis) : μ₁ = μ₂</t>
  </si>
  <si>
    <t>H₁ (Alternative hypothesis):μ₁ ≠ μ₂</t>
  </si>
  <si>
    <t xml:space="preserve">t stat &lt; t critical </t>
  </si>
  <si>
    <t>we fail to reject null hypothesis.</t>
  </si>
  <si>
    <t>p&gt; 0.05</t>
  </si>
  <si>
    <t>Conclusion:There is no statistically significant difference in mean weight gain between pigs fed on Diet A and Diet B at the 5% significance level</t>
  </si>
  <si>
    <t>Practical No. 1</t>
  </si>
  <si>
    <t>Practical No. 2</t>
  </si>
  <si>
    <t>Practical No. 3</t>
  </si>
  <si>
    <t>Practical No. 5</t>
  </si>
  <si>
    <t>Hours of sleep(before)</t>
  </si>
  <si>
    <t>Hours of sleep(after)</t>
  </si>
  <si>
    <t>t-Test: Paired Two Sample for Means</t>
  </si>
  <si>
    <t>Pearson Correlation</t>
  </si>
  <si>
    <t>H0​:μd​=0</t>
  </si>
  <si>
    <t>H1​:μd≠​0</t>
  </si>
  <si>
    <t>t stat</t>
  </si>
  <si>
    <t>p</t>
  </si>
  <si>
    <t>Conclusion:There is no significant difference in the average hours of sleep before and after giving the new drug at the 5% level of significance.</t>
  </si>
  <si>
    <t>Conclusion:Gender and snack preference are not independent.</t>
  </si>
  <si>
    <t>reject the null hypothesis.</t>
  </si>
  <si>
    <t>p value &gt;0.05</t>
  </si>
  <si>
    <t>CHISQ.DIST()</t>
  </si>
  <si>
    <t>p value</t>
  </si>
  <si>
    <t>test statistic &gt; table value</t>
  </si>
  <si>
    <t>CHISQ.INV.RT()</t>
  </si>
  <si>
    <t>table  value:</t>
  </si>
  <si>
    <t>(2-1)*(2-1)</t>
  </si>
  <si>
    <t>(r-1)*(c-1)</t>
  </si>
  <si>
    <t>sum(Oij^2/eij)-N</t>
  </si>
  <si>
    <t>Test statistic</t>
  </si>
  <si>
    <t>N</t>
  </si>
  <si>
    <t>sum(Oij^2/eij)</t>
  </si>
  <si>
    <t>Total</t>
  </si>
  <si>
    <t>Female</t>
  </si>
  <si>
    <t>Male</t>
  </si>
  <si>
    <t>Candy</t>
  </si>
  <si>
    <t>Chips</t>
  </si>
  <si>
    <t>Oij^2/eij</t>
  </si>
  <si>
    <t>Expected Frequency(eij)</t>
  </si>
  <si>
    <t>H1: The two variables are not independent.</t>
  </si>
  <si>
    <t>Ho:The two variables are independent.</t>
  </si>
  <si>
    <t>1)</t>
  </si>
  <si>
    <t>Observed Frequency(Oij)</t>
  </si>
  <si>
    <t>Pracical No.6</t>
  </si>
  <si>
    <t xml:space="preserve">Conclusion: Number of defectives per batch follows Binomial  distribution </t>
  </si>
  <si>
    <t>9.460714785&gt;5.991464547      reject H0​</t>
  </si>
  <si>
    <t>Decision</t>
  </si>
  <si>
    <t>Critical Value/table value=CHIINV</t>
  </si>
  <si>
    <t>d.f=k-p-1</t>
  </si>
  <si>
    <t xml:space="preserve">ꭓ2 </t>
  </si>
  <si>
    <t>80 – 100</t>
  </si>
  <si>
    <t>60 – 80</t>
  </si>
  <si>
    <t>40 – 60</t>
  </si>
  <si>
    <t>20 – 40</t>
  </si>
  <si>
    <t>0 – 20</t>
  </si>
  <si>
    <t>(oi-ei)^2/ei</t>
  </si>
  <si>
    <t>Expected value(ei)=p(X=x)*N</t>
  </si>
  <si>
    <t>P(X=x)</t>
  </si>
  <si>
    <t>Number of Students (Observed Frequency, O)</t>
  </si>
  <si>
    <t>Score Interval</t>
  </si>
  <si>
    <t>z=(x−μ)/σ</t>
  </si>
  <si>
    <t>µ=55, σ=20</t>
  </si>
  <si>
    <t>The distribution of students’ scores does not follow a Normal distribution.</t>
  </si>
  <si>
    <t>H1:</t>
  </si>
  <si>
    <t>The distribution of students’ scores follows a Normal distribution.</t>
  </si>
  <si>
    <t>Ho:</t>
  </si>
  <si>
    <t>0.793968073&lt;5.991464547     Fail to reject H0​</t>
  </si>
  <si>
    <t>Observed Frequency (O)</t>
  </si>
  <si>
    <t>Number of Defective Items</t>
  </si>
  <si>
    <t>q=1-p</t>
  </si>
  <si>
    <t>p=Total defective items/Total items inspected</t>
  </si>
  <si>
    <t>Total items inspected: number of batches*items per batch</t>
  </si>
  <si>
    <r>
      <t>H₁:</t>
    </r>
    <r>
      <rPr>
        <sz val="11"/>
        <color theme="1"/>
        <rFont val="Calibri"/>
        <family val="2"/>
        <scheme val="minor"/>
      </rPr>
      <t xml:space="preserve"> Does </t>
    </r>
    <r>
      <rPr>
        <b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follow Binomial distribution</t>
    </r>
  </si>
  <si>
    <r>
      <t>H₀:</t>
    </r>
    <r>
      <rPr>
        <sz val="11"/>
        <color theme="1"/>
        <rFont val="Calibri"/>
        <family val="2"/>
        <scheme val="minor"/>
      </rPr>
      <t xml:space="preserve"> Number of defectives per batch follows </t>
    </r>
    <r>
      <rPr>
        <b/>
        <sz val="11"/>
        <color theme="1"/>
        <rFont val="Calibri"/>
        <family val="2"/>
        <scheme val="minor"/>
      </rPr>
      <t>Binomial(n = 3, p)</t>
    </r>
  </si>
  <si>
    <r>
      <t xml:space="preserve">Items per batch = </t>
    </r>
    <r>
      <rPr>
        <b/>
        <sz val="11"/>
        <color theme="1"/>
        <rFont val="Calibri"/>
        <family val="2"/>
        <scheme val="minor"/>
      </rPr>
      <t>n = 3</t>
    </r>
  </si>
  <si>
    <r>
      <t xml:space="preserve">Number of batches = </t>
    </r>
    <r>
      <rPr>
        <b/>
        <sz val="11"/>
        <color theme="1"/>
        <rFont val="Calibri"/>
        <family val="2"/>
        <scheme val="minor"/>
      </rPr>
      <t>100</t>
    </r>
  </si>
  <si>
    <t>Total defective items= X*O</t>
  </si>
  <si>
    <t xml:space="preserve">Q.4 </t>
  </si>
  <si>
    <t>1.7944&lt;4.99  we fail to  reject H0​</t>
  </si>
  <si>
    <t>X*O</t>
  </si>
  <si>
    <t>Number of Accidents</t>
  </si>
  <si>
    <t>λ=X*O/SUM (O)</t>
  </si>
  <si>
    <t>λ (mean number of accidents per day)</t>
  </si>
  <si>
    <t>H1:The number of accidents per day not follows a Poisson distribution.</t>
  </si>
  <si>
    <t>H₀ :The number of accidents per day follows a Poisson distribution.</t>
  </si>
  <si>
    <t>Conclusion:Colour distribution does not follow  claimed proportions.</t>
  </si>
  <si>
    <t>8.58333&gt;7.81472⇒reject H0​</t>
  </si>
  <si>
    <t>d.f=4-1</t>
  </si>
  <si>
    <t>Yellow</t>
  </si>
  <si>
    <t>Green</t>
  </si>
  <si>
    <t>Blue</t>
  </si>
  <si>
    <t>Red</t>
  </si>
  <si>
    <t>E= N*pi</t>
  </si>
  <si>
    <t>pi</t>
  </si>
  <si>
    <t>Observed Frequency</t>
  </si>
  <si>
    <t>Color</t>
  </si>
  <si>
    <r>
      <t>H₁:</t>
    </r>
    <r>
      <rPr>
        <sz val="11"/>
        <color theme="1"/>
        <rFont val="Calibri"/>
        <family val="2"/>
        <scheme val="minor"/>
      </rPr>
      <t xml:space="preserve"> It does not follow claimed proportions</t>
    </r>
  </si>
  <si>
    <r>
      <t>H₀:</t>
    </r>
    <r>
      <rPr>
        <sz val="11"/>
        <color theme="1"/>
        <rFont val="Calibri"/>
        <family val="2"/>
        <scheme val="minor"/>
      </rPr>
      <t xml:space="preserve"> Color distribution follows claimed proportions</t>
    </r>
  </si>
  <si>
    <t>Conclusion:Orders are uniformly distributed among the 4 partners.</t>
  </si>
  <si>
    <t>7.32&lt;7.815⇒Fail to reject H0​</t>
  </si>
  <si>
    <t>Critical Value/table value=CHIINV(PROBABILITY=0.05,DF=3)</t>
  </si>
  <si>
    <t xml:space="preserve">Expected Frequency(ei) </t>
  </si>
  <si>
    <t>Observed frequency(oi)</t>
  </si>
  <si>
    <t>Partner</t>
  </si>
  <si>
    <r>
      <t>H₁:</t>
    </r>
    <r>
      <rPr>
        <sz val="11"/>
        <color theme="1"/>
        <rFont val="Calibri"/>
        <family val="2"/>
        <scheme val="minor"/>
      </rPr>
      <t xml:space="preserve"> Orders are not uniformly distributed</t>
    </r>
  </si>
  <si>
    <r>
      <t>H₀:</t>
    </r>
    <r>
      <rPr>
        <sz val="11"/>
        <color theme="1"/>
        <rFont val="Calibri"/>
        <family val="2"/>
        <scheme val="minor"/>
      </rPr>
      <t xml:space="preserve"> Orders are uniformly distributed among the 4 partners</t>
    </r>
  </si>
  <si>
    <t>Orders</t>
  </si>
  <si>
    <t>Practical No 7</t>
  </si>
  <si>
    <t>Conclusion:Variances of diameters supplied by manufacturers A and B are equal.</t>
  </si>
  <si>
    <r>
      <t>1.4929 &lt; 3.10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Accept H₀</t>
    </r>
  </si>
  <si>
    <t>Table value=FINV(α, df1, df2)</t>
  </si>
  <si>
    <t>F statistics= Large variance/small variance</t>
  </si>
  <si>
    <t>VARIANCE OF B</t>
  </si>
  <si>
    <t>VARIANCE OF A</t>
  </si>
  <si>
    <t>B</t>
  </si>
  <si>
    <t>A</t>
  </si>
  <si>
    <t>Practical No 9</t>
  </si>
  <si>
    <t xml:space="preserve">Q.1 The following data represent the marks obtained by 8 students in a class test: </t>
  </si>
  <si>
    <r>
      <t>Marks: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Times New Roman"/>
        <family val="1"/>
      </rPr>
      <t>42, 45, 40, 44, 43, 41, 46, 44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Times New Roman"/>
        <family val="1"/>
      </rPr>
      <t xml:space="preserve">Using </t>
    </r>
    <r>
      <rPr>
        <b/>
        <sz val="12"/>
        <color theme="1"/>
        <rFont val="Times New Roman"/>
        <family val="1"/>
      </rPr>
      <t>MS Excel</t>
    </r>
    <r>
      <rPr>
        <sz val="12"/>
        <color theme="1"/>
        <rFont val="Times New Roman"/>
        <family val="1"/>
      </rPr>
      <t xml:space="preserve">, test at the </t>
    </r>
    <r>
      <rPr>
        <b/>
        <sz val="12"/>
        <color theme="1"/>
        <rFont val="Times New Roman"/>
        <family val="1"/>
      </rPr>
      <t>5% level of significance</t>
    </r>
    <r>
      <rPr>
        <sz val="12"/>
        <color theme="1"/>
        <rFont val="Times New Roman"/>
        <family val="1"/>
      </rPr>
      <t xml:space="preserve"> whether the population 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Times New Roman"/>
        <family val="1"/>
      </rPr>
      <t xml:space="preserve">variance is </t>
    </r>
    <r>
      <rPr>
        <b/>
        <sz val="12"/>
        <color theme="1"/>
        <rFont val="Times New Roman"/>
        <family val="1"/>
      </rPr>
      <t>equal to 4</t>
    </r>
    <r>
      <rPr>
        <sz val="12"/>
        <color theme="1"/>
        <rFont val="Times New Roman"/>
        <family val="1"/>
      </rPr>
      <t>.</t>
    </r>
  </si>
  <si>
    <t>1. Compute the sample mean using Excel</t>
  </si>
  <si>
    <r>
      <t>2. Calculate (Xi−Xˉ)</t>
    </r>
    <r>
      <rPr>
        <vertAlign val="superscript"/>
        <sz val="12"/>
        <color theme="1"/>
        <rFont val="Times New Roman"/>
        <family val="1"/>
      </rPr>
      <t>2</t>
    </r>
  </si>
  <si>
    <r>
      <t>3. Find ∑(Xi−Xˉ)</t>
    </r>
    <r>
      <rPr>
        <vertAlign val="superscript"/>
        <sz val="12"/>
        <color theme="1"/>
        <rFont val="Times New Roman"/>
        <family val="1"/>
      </rPr>
      <t>2</t>
    </r>
  </si>
  <si>
    <t>4. Compute the Chi-square statistic</t>
  </si>
  <si>
    <t>5. Use Excel to obtain the critical value</t>
  </si>
  <si>
    <t>MARKS</t>
  </si>
  <si>
    <t>i)sample mean</t>
  </si>
  <si>
    <t>AVERAGE()</t>
  </si>
  <si>
    <t>ii) Calculate (Xi−Xˉ)2</t>
  </si>
  <si>
    <t>(Xi−Xˉ)2</t>
  </si>
  <si>
    <t>iii)Find ∑(Xi−Xˉ)2</t>
  </si>
  <si>
    <t>iv) Compute the Chi-square statistic</t>
  </si>
  <si>
    <t xml:space="preserve"> Chi-square statistic</t>
  </si>
  <si>
    <t>(n-1)*s^2/sigma^2</t>
  </si>
  <si>
    <t>s^2= ∑(Xi−Xˉ)2/(n-1)</t>
  </si>
  <si>
    <t>CHISQ.INV.RT(0.05,7)</t>
  </si>
  <si>
    <t xml:space="preserve">Chi  Square statistics </t>
  </si>
</sst>
</file>

<file path=xl/styles.xml><?xml version="1.0" encoding="utf-8"?>
<styleSheet xmlns="http://schemas.openxmlformats.org/spreadsheetml/2006/main"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mbria"/>
      <family val="1"/>
    </font>
    <font>
      <sz val="11"/>
      <color theme="1"/>
      <name val="Symbol"/>
      <family val="1"/>
      <charset val="2"/>
    </font>
    <font>
      <sz val="7"/>
      <color theme="1"/>
      <name val="Times New Roman"/>
      <family val="1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color theme="1"/>
      <name val="Calibri"/>
      <family val="2"/>
    </font>
    <font>
      <b/>
      <sz val="11"/>
      <color theme="1"/>
      <name val="Cambria"/>
      <family val="1"/>
    </font>
    <font>
      <sz val="12"/>
      <color theme="1"/>
      <name val="Times New Roman"/>
      <family val="1"/>
    </font>
    <font>
      <i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vertAlign val="superscript"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0" borderId="0" xfId="0" applyFont="1" applyAlignment="1">
      <alignment horizontal="left" indent="2"/>
    </xf>
    <xf numFmtId="0" fontId="3" fillId="0" borderId="0" xfId="0" applyFont="1" applyAlignment="1">
      <alignment horizontal="left" indent="2"/>
    </xf>
    <xf numFmtId="0" fontId="6" fillId="0" borderId="0" xfId="0" applyFont="1"/>
    <xf numFmtId="0" fontId="7" fillId="0" borderId="0" xfId="0" applyFont="1"/>
    <xf numFmtId="0" fontId="11" fillId="0" borderId="0" xfId="0" applyFont="1"/>
    <xf numFmtId="0" fontId="0" fillId="0" borderId="0" xfId="0"/>
    <xf numFmtId="0" fontId="8" fillId="0" borderId="0" xfId="0" applyFont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0" fillId="0" borderId="1" xfId="0" applyBorder="1"/>
    <xf numFmtId="0" fontId="8" fillId="0" borderId="1" xfId="0" applyFont="1" applyBorder="1" applyAlignment="1">
      <alignment horizontal="left"/>
    </xf>
    <xf numFmtId="0" fontId="3" fillId="0" borderId="0" xfId="0" applyFont="1" applyAlignment="1">
      <alignment vertical="center"/>
    </xf>
    <xf numFmtId="0" fontId="8" fillId="0" borderId="0" xfId="0" applyFont="1" applyFill="1" applyBorder="1" applyAlignment="1">
      <alignment horizontal="left"/>
    </xf>
    <xf numFmtId="0" fontId="10" fillId="0" borderId="0" xfId="0" applyFont="1" applyAlignment="1">
      <alignment vertical="center"/>
    </xf>
    <xf numFmtId="0" fontId="0" fillId="0" borderId="0" xfId="0"/>
    <xf numFmtId="0" fontId="1" fillId="0" borderId="0" xfId="0" applyFont="1"/>
    <xf numFmtId="0" fontId="0" fillId="0" borderId="0" xfId="0" applyFill="1" applyBorder="1" applyAlignment="1"/>
    <xf numFmtId="0" fontId="0" fillId="0" borderId="2" xfId="0" applyFill="1" applyBorder="1" applyAlignment="1"/>
    <xf numFmtId="0" fontId="12" fillId="0" borderId="3" xfId="0" applyFont="1" applyFill="1" applyBorder="1" applyAlignment="1">
      <alignment horizontal="center"/>
    </xf>
    <xf numFmtId="0" fontId="7" fillId="0" borderId="0" xfId="0" applyFont="1"/>
    <xf numFmtId="0" fontId="13" fillId="0" borderId="0" xfId="0" applyFont="1"/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2" fillId="0" borderId="3" xfId="0" applyFont="1" applyFill="1" applyBorder="1" applyAlignment="1">
      <alignment horizontal="center"/>
    </xf>
    <xf numFmtId="0" fontId="7" fillId="0" borderId="0" xfId="0" applyFont="1"/>
    <xf numFmtId="0" fontId="11" fillId="0" borderId="4" xfId="0" applyFont="1" applyBorder="1" applyAlignment="1">
      <alignment vertical="top" wrapText="1"/>
    </xf>
    <xf numFmtId="0" fontId="11" fillId="0" borderId="5" xfId="0" applyFont="1" applyBorder="1" applyAlignment="1">
      <alignment vertical="top" wrapText="1"/>
    </xf>
    <xf numFmtId="0" fontId="11" fillId="0" borderId="1" xfId="0" applyFont="1" applyBorder="1" applyAlignment="1">
      <alignment vertical="top" wrapText="1"/>
    </xf>
    <xf numFmtId="0" fontId="11" fillId="0" borderId="0" xfId="0" applyFont="1" applyBorder="1" applyAlignment="1">
      <alignment vertical="top" wrapText="1"/>
    </xf>
    <xf numFmtId="0" fontId="2" fillId="0" borderId="0" xfId="0" applyFont="1"/>
    <xf numFmtId="0" fontId="0" fillId="2" borderId="0" xfId="0" applyFill="1" applyBorder="1" applyAlignment="1"/>
    <xf numFmtId="0" fontId="0" fillId="2" borderId="2" xfId="0" applyFill="1" applyBorder="1" applyAlignment="1"/>
    <xf numFmtId="0" fontId="0" fillId="3" borderId="0" xfId="0" applyFill="1" applyBorder="1" applyAlignment="1"/>
    <xf numFmtId="0" fontId="8" fillId="0" borderId="0" xfId="0" applyFont="1" applyFill="1" applyBorder="1" applyAlignment="1">
      <alignment vertical="center" wrapText="1"/>
    </xf>
    <xf numFmtId="0" fontId="11" fillId="4" borderId="0" xfId="0" applyFont="1" applyFill="1" applyBorder="1" applyAlignment="1">
      <alignment vertical="center" wrapText="1"/>
    </xf>
    <xf numFmtId="0" fontId="11" fillId="3" borderId="0" xfId="0" applyFont="1" applyFill="1" applyBorder="1" applyAlignment="1">
      <alignment vertical="center" wrapText="1"/>
    </xf>
    <xf numFmtId="0" fontId="11" fillId="4" borderId="6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8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11" fillId="2" borderId="6" xfId="0" applyFont="1" applyFill="1" applyBorder="1" applyAlignment="1">
      <alignment vertical="center" wrapText="1"/>
    </xf>
    <xf numFmtId="0" fontId="0" fillId="0" borderId="7" xfId="0" applyBorder="1"/>
    <xf numFmtId="0" fontId="11" fillId="0" borderId="8" xfId="0" applyFont="1" applyBorder="1" applyAlignment="1">
      <alignment wrapText="1"/>
    </xf>
    <xf numFmtId="0" fontId="11" fillId="0" borderId="9" xfId="0" applyFont="1" applyBorder="1" applyAlignment="1">
      <alignment wrapText="1"/>
    </xf>
    <xf numFmtId="0" fontId="11" fillId="0" borderId="10" xfId="0" applyFont="1" applyBorder="1" applyAlignment="1">
      <alignment wrapText="1"/>
    </xf>
    <xf numFmtId="0" fontId="0" fillId="0" borderId="1" xfId="0" applyFill="1" applyBorder="1"/>
    <xf numFmtId="0" fontId="11" fillId="0" borderId="8" xfId="0" applyFont="1" applyBorder="1" applyAlignment="1">
      <alignment horizontal="center" wrapText="1"/>
    </xf>
    <xf numFmtId="0" fontId="11" fillId="0" borderId="0" xfId="0" applyFont="1" applyFill="1" applyBorder="1" applyAlignment="1">
      <alignment wrapText="1"/>
    </xf>
    <xf numFmtId="0" fontId="11" fillId="0" borderId="0" xfId="0" applyFont="1" applyBorder="1" applyAlignment="1">
      <alignment wrapText="1"/>
    </xf>
    <xf numFmtId="0" fontId="11" fillId="0" borderId="6" xfId="0" applyFont="1" applyBorder="1" applyAlignment="1">
      <alignment wrapText="1"/>
    </xf>
    <xf numFmtId="0" fontId="11" fillId="0" borderId="11" xfId="0" applyFont="1" applyBorder="1" applyAlignment="1">
      <alignment wrapText="1"/>
    </xf>
    <xf numFmtId="0" fontId="11" fillId="0" borderId="12" xfId="0" applyFont="1" applyBorder="1" applyAlignment="1">
      <alignment horizontal="center" wrapText="1"/>
    </xf>
    <xf numFmtId="0" fontId="11" fillId="0" borderId="1" xfId="0" applyFont="1" applyBorder="1" applyAlignment="1">
      <alignment wrapText="1"/>
    </xf>
    <xf numFmtId="0" fontId="11" fillId="0" borderId="13" xfId="0" applyFont="1" applyBorder="1" applyAlignment="1">
      <alignment wrapText="1"/>
    </xf>
    <xf numFmtId="0" fontId="11" fillId="0" borderId="1" xfId="0" applyFont="1" applyBorder="1" applyAlignment="1">
      <alignment horizontal="center" wrapText="1"/>
    </xf>
    <xf numFmtId="0" fontId="11" fillId="0" borderId="9" xfId="0" applyFont="1" applyBorder="1" applyAlignment="1">
      <alignment horizontal="center" wrapText="1"/>
    </xf>
    <xf numFmtId="0" fontId="0" fillId="0" borderId="0" xfId="0" applyBorder="1"/>
    <xf numFmtId="0" fontId="1" fillId="0" borderId="1" xfId="0" applyFont="1" applyBorder="1"/>
    <xf numFmtId="0" fontId="11" fillId="0" borderId="5" xfId="0" applyFont="1" applyBorder="1" applyAlignment="1">
      <alignment wrapText="1"/>
    </xf>
    <xf numFmtId="0" fontId="11" fillId="0" borderId="14" xfId="0" applyFont="1" applyBorder="1" applyAlignment="1">
      <alignment wrapText="1"/>
    </xf>
    <xf numFmtId="0" fontId="11" fillId="0" borderId="4" xfId="0" applyFont="1" applyBorder="1" applyAlignment="1">
      <alignment wrapText="1"/>
    </xf>
    <xf numFmtId="0" fontId="11" fillId="0" borderId="15" xfId="0" applyFont="1" applyBorder="1" applyAlignment="1">
      <alignment horizontal="center" wrapText="1"/>
    </xf>
    <xf numFmtId="0" fontId="8" fillId="0" borderId="0" xfId="0" applyFont="1"/>
    <xf numFmtId="0" fontId="11" fillId="0" borderId="6" xfId="0" applyFont="1" applyBorder="1" applyAlignment="1">
      <alignment horizontal="center" wrapText="1"/>
    </xf>
    <xf numFmtId="0" fontId="0" fillId="0" borderId="16" xfId="0" applyBorder="1"/>
    <xf numFmtId="0" fontId="11" fillId="0" borderId="10" xfId="0" applyFont="1" applyBorder="1" applyAlignment="1">
      <alignment horizontal="center" wrapText="1"/>
    </xf>
    <xf numFmtId="0" fontId="11" fillId="0" borderId="14" xfId="0" applyFont="1" applyBorder="1" applyAlignment="1">
      <alignment horizontal="center" wrapText="1"/>
    </xf>
    <xf numFmtId="0" fontId="11" fillId="0" borderId="13" xfId="0" applyFont="1" applyBorder="1" applyAlignment="1">
      <alignment horizontal="center" wrapText="1"/>
    </xf>
    <xf numFmtId="0" fontId="11" fillId="0" borderId="11" xfId="0" applyFont="1" applyBorder="1" applyAlignment="1">
      <alignment horizontal="center" wrapText="1"/>
    </xf>
    <xf numFmtId="0" fontId="14" fillId="0" borderId="0" xfId="0" applyFont="1"/>
    <xf numFmtId="0" fontId="0" fillId="0" borderId="0" xfId="0" applyAlignment="1">
      <alignment horizontal="left" indent="1"/>
    </xf>
    <xf numFmtId="0" fontId="11" fillId="0" borderId="0" xfId="0" applyFont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71"/>
  <sheetViews>
    <sheetView workbookViewId="0"/>
  </sheetViews>
  <sheetFormatPr defaultRowHeight="15"/>
  <cols>
    <col min="1" max="1" width="22.140625" customWidth="1"/>
    <col min="2" max="2" width="16.140625" customWidth="1"/>
    <col min="3" max="3" width="14.7109375" customWidth="1"/>
    <col min="11" max="11" width="12.140625" customWidth="1"/>
    <col min="12" max="12" width="15.42578125" customWidth="1"/>
    <col min="13" max="13" width="11.140625" customWidth="1"/>
  </cols>
  <sheetData>
    <row r="1" spans="1:13" ht="23.25">
      <c r="A1" s="23" t="s">
        <v>158</v>
      </c>
    </row>
    <row r="2" spans="1:13" ht="18.75">
      <c r="A2" s="6" t="s">
        <v>4</v>
      </c>
      <c r="B2" t="s">
        <v>51</v>
      </c>
      <c r="C2">
        <v>210</v>
      </c>
      <c r="K2" s="6" t="s">
        <v>27</v>
      </c>
      <c r="L2" t="s">
        <v>51</v>
      </c>
      <c r="M2">
        <v>160</v>
      </c>
    </row>
    <row r="3" spans="1:13">
      <c r="B3" t="s">
        <v>50</v>
      </c>
      <c r="C3">
        <f>C2/C5</f>
        <v>0.52500000000000002</v>
      </c>
      <c r="L3" t="s">
        <v>50</v>
      </c>
      <c r="M3">
        <f>M2/M5</f>
        <v>0.8</v>
      </c>
    </row>
    <row r="4" spans="1:13">
      <c r="B4" t="s">
        <v>52</v>
      </c>
      <c r="C4">
        <v>0.5</v>
      </c>
      <c r="L4" t="s">
        <v>52</v>
      </c>
      <c r="M4">
        <v>0.85</v>
      </c>
    </row>
    <row r="5" spans="1:13">
      <c r="B5" t="s">
        <v>2</v>
      </c>
      <c r="C5">
        <v>400</v>
      </c>
      <c r="L5" t="s">
        <v>2</v>
      </c>
      <c r="M5">
        <v>200</v>
      </c>
    </row>
    <row r="6" spans="1:13">
      <c r="B6" s="1" t="s">
        <v>53</v>
      </c>
      <c r="C6">
        <v>0.05</v>
      </c>
      <c r="L6" s="1" t="s">
        <v>53</v>
      </c>
      <c r="M6">
        <v>0.05</v>
      </c>
    </row>
    <row r="7" spans="1:13">
      <c r="B7" s="1" t="s">
        <v>60</v>
      </c>
      <c r="C7">
        <f>1-C4</f>
        <v>0.5</v>
      </c>
      <c r="L7" s="1" t="s">
        <v>60</v>
      </c>
      <c r="M7">
        <f>1-M4</f>
        <v>0.15000000000000002</v>
      </c>
    </row>
    <row r="8" spans="1:13">
      <c r="A8" t="s">
        <v>55</v>
      </c>
      <c r="B8" s="5" t="s">
        <v>54</v>
      </c>
      <c r="K8" t="s">
        <v>55</v>
      </c>
      <c r="L8" s="5" t="s">
        <v>54</v>
      </c>
    </row>
    <row r="9" spans="1:13">
      <c r="A9" t="s">
        <v>56</v>
      </c>
      <c r="B9" s="2" t="s">
        <v>57</v>
      </c>
      <c r="K9" t="s">
        <v>56</v>
      </c>
      <c r="L9" s="2" t="s">
        <v>72</v>
      </c>
    </row>
    <row r="11" spans="1:13">
      <c r="A11" s="3" t="s">
        <v>59</v>
      </c>
      <c r="B11" s="2" t="s">
        <v>58</v>
      </c>
      <c r="K11" s="3" t="s">
        <v>59</v>
      </c>
      <c r="L11" s="2" t="s">
        <v>58</v>
      </c>
    </row>
    <row r="12" spans="1:13">
      <c r="B12" s="5">
        <f>(C3-C4)/SQRT(C4*C7/C5)</f>
        <v>1.0000000000000009</v>
      </c>
      <c r="L12" s="5"/>
      <c r="M12">
        <f>(M3-M4)/SQRT((M4*M7)/M5)</f>
        <v>-1.9802950859533459</v>
      </c>
    </row>
    <row r="13" spans="1:13">
      <c r="A13" t="s">
        <v>12</v>
      </c>
      <c r="B13" s="5" t="s">
        <v>63</v>
      </c>
      <c r="K13" t="s">
        <v>12</v>
      </c>
      <c r="L13" s="5" t="s">
        <v>94</v>
      </c>
    </row>
    <row r="14" spans="1:13">
      <c r="B14" s="5">
        <f>NORMSINV(1-C6/2)</f>
        <v>1.9599639845400536</v>
      </c>
      <c r="L14" s="5"/>
      <c r="M14">
        <f>NORMSINV(M6)</f>
        <v>-1.6448536269514726</v>
      </c>
    </row>
    <row r="15" spans="1:13">
      <c r="B15" s="5"/>
      <c r="K15" t="s">
        <v>73</v>
      </c>
      <c r="L15" s="5" t="s">
        <v>74</v>
      </c>
    </row>
    <row r="16" spans="1:13">
      <c r="A16" t="s">
        <v>64</v>
      </c>
      <c r="B16" t="s">
        <v>65</v>
      </c>
      <c r="K16" t="s">
        <v>79</v>
      </c>
      <c r="L16" t="s">
        <v>78</v>
      </c>
    </row>
    <row r="17" spans="1:12">
      <c r="A17" t="s">
        <v>66</v>
      </c>
    </row>
    <row r="18" spans="1:12">
      <c r="B18" s="5"/>
      <c r="L18" s="5"/>
    </row>
    <row r="19" spans="1:12">
      <c r="B19" s="5"/>
      <c r="L19" s="5"/>
    </row>
    <row r="20" spans="1:12">
      <c r="A20" s="3" t="s">
        <v>62</v>
      </c>
      <c r="B20" s="4" t="s">
        <v>61</v>
      </c>
      <c r="K20" s="3" t="s">
        <v>62</v>
      </c>
      <c r="L20" s="4" t="s">
        <v>75</v>
      </c>
    </row>
    <row r="21" spans="1:12">
      <c r="B21" t="s">
        <v>93</v>
      </c>
      <c r="L21" t="s">
        <v>76</v>
      </c>
    </row>
    <row r="22" spans="1:12">
      <c r="B22">
        <f>2*(1-NORMSDIST(ABS(C6/2)))</f>
        <v>0.98005496360952393</v>
      </c>
      <c r="L22">
        <f>NORMSDIST(M12)</f>
        <v>2.383519032808086E-2</v>
      </c>
    </row>
    <row r="24" spans="1:12">
      <c r="A24" t="s">
        <v>67</v>
      </c>
      <c r="B24" t="s">
        <v>65</v>
      </c>
      <c r="K24" t="s">
        <v>18</v>
      </c>
      <c r="L24" t="s">
        <v>77</v>
      </c>
    </row>
    <row r="26" spans="1:12">
      <c r="A26" s="3" t="s">
        <v>20</v>
      </c>
      <c r="B26" s="4" t="s">
        <v>68</v>
      </c>
      <c r="K26" s="3"/>
      <c r="L26" s="4"/>
    </row>
    <row r="27" spans="1:12">
      <c r="A27" s="3"/>
      <c r="B27" s="4" t="s">
        <v>69</v>
      </c>
      <c r="J27" t="s">
        <v>98</v>
      </c>
      <c r="K27" s="3"/>
      <c r="L27" s="4"/>
    </row>
    <row r="29" spans="1:12">
      <c r="B29">
        <f>C3-NORMSINV(1-C6/2)*SQRT(C3*(1-C3)/C5)</f>
        <v>0.47606218758948771</v>
      </c>
    </row>
    <row r="30" spans="1:12">
      <c r="B30">
        <f>C3+NORMSINV(1-C6/2)*SQRT(C3*(1-C3)/C5)</f>
        <v>0.57393781241051234</v>
      </c>
    </row>
    <row r="31" spans="1:12">
      <c r="B31" t="s">
        <v>70</v>
      </c>
    </row>
    <row r="32" spans="1:12">
      <c r="A32" s="3"/>
      <c r="B32" t="s">
        <v>71</v>
      </c>
      <c r="K32" s="3"/>
    </row>
    <row r="33" spans="1:12">
      <c r="B33" s="2"/>
      <c r="L33" s="2"/>
    </row>
    <row r="35" spans="1:12" ht="21">
      <c r="A35" s="7" t="s">
        <v>33</v>
      </c>
      <c r="B35" t="s">
        <v>80</v>
      </c>
      <c r="C35">
        <v>200</v>
      </c>
    </row>
    <row r="36" spans="1:12">
      <c r="B36" t="s">
        <v>38</v>
      </c>
      <c r="C36">
        <v>800</v>
      </c>
    </row>
    <row r="37" spans="1:12">
      <c r="B37" t="s">
        <v>81</v>
      </c>
      <c r="C37">
        <v>350</v>
      </c>
    </row>
    <row r="38" spans="1:12">
      <c r="B38" t="s">
        <v>39</v>
      </c>
      <c r="C38">
        <v>1000</v>
      </c>
    </row>
    <row r="39" spans="1:12">
      <c r="B39" s="1" t="s">
        <v>53</v>
      </c>
      <c r="C39">
        <v>0.05</v>
      </c>
    </row>
    <row r="41" spans="1:12">
      <c r="A41" t="s">
        <v>55</v>
      </c>
      <c r="B41" s="5" t="s">
        <v>82</v>
      </c>
    </row>
    <row r="42" spans="1:12">
      <c r="A42" t="s">
        <v>56</v>
      </c>
      <c r="B42" s="2" t="s">
        <v>83</v>
      </c>
    </row>
    <row r="44" spans="1:12">
      <c r="A44" s="3"/>
      <c r="B44" t="s">
        <v>84</v>
      </c>
      <c r="C44" t="s">
        <v>85</v>
      </c>
      <c r="D44">
        <f>C35/C36</f>
        <v>0.25</v>
      </c>
    </row>
    <row r="45" spans="1:12">
      <c r="B45" t="s">
        <v>86</v>
      </c>
      <c r="C45" t="s">
        <v>87</v>
      </c>
      <c r="D45">
        <f>C37/C38</f>
        <v>0.35</v>
      </c>
    </row>
    <row r="46" spans="1:12">
      <c r="B46" t="s">
        <v>88</v>
      </c>
      <c r="C46" t="s">
        <v>89</v>
      </c>
      <c r="D46">
        <f>(C35+C37)/(C36+C38)</f>
        <v>0.30555555555555558</v>
      </c>
    </row>
    <row r="47" spans="1:12">
      <c r="B47" t="s">
        <v>90</v>
      </c>
      <c r="C47" t="s">
        <v>91</v>
      </c>
      <c r="D47">
        <f>1-D46</f>
        <v>0.69444444444444442</v>
      </c>
    </row>
    <row r="49" spans="1:2">
      <c r="A49" s="3" t="s">
        <v>59</v>
      </c>
      <c r="B49" s="2" t="s">
        <v>92</v>
      </c>
    </row>
    <row r="50" spans="1:2">
      <c r="B50">
        <f>(D44-D45)/SQRT(D46*D47*((1/C36)+(1/C38)))</f>
        <v>-4.5766204283788419</v>
      </c>
    </row>
    <row r="52" spans="1:2">
      <c r="A52" t="s">
        <v>12</v>
      </c>
      <c r="B52" s="5" t="s">
        <v>63</v>
      </c>
    </row>
    <row r="53" spans="1:2">
      <c r="B53" s="5">
        <f>NORMSINV(1-C39/2)</f>
        <v>1.9599639845400536</v>
      </c>
    </row>
    <row r="54" spans="1:2">
      <c r="B54" s="5"/>
    </row>
    <row r="55" spans="1:2">
      <c r="A55" t="s">
        <v>64</v>
      </c>
      <c r="B55" t="s">
        <v>65</v>
      </c>
    </row>
    <row r="56" spans="1:2">
      <c r="A56" t="s">
        <v>79</v>
      </c>
      <c r="B56" t="s">
        <v>99</v>
      </c>
    </row>
    <row r="57" spans="1:2">
      <c r="B57" s="5"/>
    </row>
    <row r="58" spans="1:2">
      <c r="B58" s="5"/>
    </row>
    <row r="59" spans="1:2">
      <c r="A59" s="3" t="s">
        <v>62</v>
      </c>
      <c r="B59" s="4" t="s">
        <v>61</v>
      </c>
    </row>
    <row r="60" spans="1:2">
      <c r="B60" t="s">
        <v>93</v>
      </c>
    </row>
    <row r="61" spans="1:2">
      <c r="B61">
        <f>2*(1-NORMSDIST(ABS(B50)))</f>
        <v>4.7254772654881094E-6</v>
      </c>
    </row>
    <row r="62" spans="1:2">
      <c r="A62" t="s">
        <v>18</v>
      </c>
      <c r="B62" t="s">
        <v>77</v>
      </c>
    </row>
    <row r="64" spans="1:2">
      <c r="A64" s="3" t="s">
        <v>20</v>
      </c>
      <c r="B64" s="4" t="s">
        <v>95</v>
      </c>
    </row>
    <row r="65" spans="1:2">
      <c r="A65" s="3"/>
      <c r="B65" s="4" t="s">
        <v>96</v>
      </c>
    </row>
    <row r="66" spans="1:2">
      <c r="A66" s="4"/>
    </row>
    <row r="68" spans="1:2">
      <c r="B68">
        <f>(D44-D45)-NORMSINV(1-C39/2)*SQRT(D46*D47*((1/C36)+(1/C38)))</f>
        <v>-0.14282557435584237</v>
      </c>
    </row>
    <row r="69" spans="1:2">
      <c r="B69">
        <f>(D44-D45)+NORMSINV(1-C39/2)*SQRT(D46*D47*((1/C36)+(1/C38)))</f>
        <v>-5.7174425644157589E-2</v>
      </c>
    </row>
    <row r="70" spans="1:2">
      <c r="B70" t="s">
        <v>97</v>
      </c>
    </row>
    <row r="71" spans="1:2">
      <c r="B71" t="s">
        <v>25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72"/>
  <sheetViews>
    <sheetView workbookViewId="0"/>
  </sheetViews>
  <sheetFormatPr defaultRowHeight="15"/>
  <cols>
    <col min="1" max="1" width="22.42578125" customWidth="1"/>
    <col min="2" max="2" width="30" customWidth="1"/>
    <col min="9" max="9" width="20.140625" customWidth="1"/>
    <col min="10" max="10" width="19.28515625" customWidth="1"/>
    <col min="12" max="12" width="12" bestFit="1" customWidth="1"/>
  </cols>
  <sheetData>
    <row r="1" spans="1:12" ht="21">
      <c r="A1" s="22" t="s">
        <v>159</v>
      </c>
    </row>
    <row r="2" spans="1:12">
      <c r="A2" t="s">
        <v>4</v>
      </c>
      <c r="I2" t="s">
        <v>27</v>
      </c>
    </row>
    <row r="3" spans="1:12">
      <c r="B3" t="s">
        <v>0</v>
      </c>
      <c r="C3">
        <v>1.94</v>
      </c>
      <c r="J3" t="s">
        <v>0</v>
      </c>
      <c r="K3">
        <v>12.5</v>
      </c>
    </row>
    <row r="4" spans="1:12">
      <c r="B4" t="s">
        <v>10</v>
      </c>
      <c r="C4">
        <v>2</v>
      </c>
      <c r="J4" t="s">
        <v>10</v>
      </c>
      <c r="K4">
        <v>13</v>
      </c>
    </row>
    <row r="5" spans="1:12">
      <c r="B5" t="s">
        <v>1</v>
      </c>
      <c r="C5">
        <v>0.1</v>
      </c>
      <c r="J5" t="s">
        <v>1</v>
      </c>
      <c r="K5">
        <v>1</v>
      </c>
    </row>
    <row r="6" spans="1:12">
      <c r="B6" t="s">
        <v>2</v>
      </c>
      <c r="C6">
        <v>100</v>
      </c>
      <c r="J6" t="s">
        <v>2</v>
      </c>
      <c r="K6">
        <v>900</v>
      </c>
    </row>
    <row r="7" spans="1:12">
      <c r="B7" t="s">
        <v>3</v>
      </c>
      <c r="C7">
        <v>0.05</v>
      </c>
      <c r="I7" s="1"/>
      <c r="J7" t="s">
        <v>3</v>
      </c>
      <c r="K7">
        <v>0.05</v>
      </c>
    </row>
    <row r="9" spans="1:12">
      <c r="A9" t="s">
        <v>5</v>
      </c>
      <c r="B9" t="s">
        <v>7</v>
      </c>
    </row>
    <row r="10" spans="1:12">
      <c r="A10" t="s">
        <v>6</v>
      </c>
      <c r="B10" t="s">
        <v>8</v>
      </c>
      <c r="I10" t="s">
        <v>5</v>
      </c>
      <c r="J10" t="s">
        <v>28</v>
      </c>
    </row>
    <row r="11" spans="1:12">
      <c r="I11" t="s">
        <v>6</v>
      </c>
      <c r="J11" t="s">
        <v>29</v>
      </c>
    </row>
    <row r="12" spans="1:12">
      <c r="A12" s="3" t="s">
        <v>9</v>
      </c>
      <c r="B12" t="s">
        <v>11</v>
      </c>
      <c r="I12" s="3" t="s">
        <v>9</v>
      </c>
      <c r="J12" t="s">
        <v>11</v>
      </c>
    </row>
    <row r="13" spans="1:12">
      <c r="B13">
        <f>(C3-C4)/(C5/SQRT((C6)))</f>
        <v>-6.0000000000000053</v>
      </c>
      <c r="D13">
        <f>ABS(6)</f>
        <v>6</v>
      </c>
      <c r="J13">
        <f>(K3-K4)/(K5/SQRT((K6)))</f>
        <v>-15</v>
      </c>
      <c r="L13">
        <v>15</v>
      </c>
    </row>
    <row r="14" spans="1:12">
      <c r="A14" t="s">
        <v>12</v>
      </c>
      <c r="B14" s="2" t="s">
        <v>13</v>
      </c>
      <c r="I14" t="s">
        <v>12</v>
      </c>
      <c r="J14" s="2" t="s">
        <v>30</v>
      </c>
    </row>
    <row r="15" spans="1:12">
      <c r="B15" t="e">
        <f ca="1">_xlfn.NORM.S.INV(1-C7/2)</f>
        <v>#NAME?</v>
      </c>
      <c r="J15" t="e">
        <f ca="1">_xlfn.NORM.S.INV(K7)</f>
        <v>#NAME?</v>
      </c>
    </row>
    <row r="17" spans="1:10">
      <c r="A17" t="s">
        <v>14</v>
      </c>
      <c r="B17" t="s">
        <v>19</v>
      </c>
      <c r="I17" t="s">
        <v>14</v>
      </c>
      <c r="J17" t="s">
        <v>19</v>
      </c>
    </row>
    <row r="18" spans="1:10">
      <c r="A18" t="s">
        <v>15</v>
      </c>
      <c r="I18" t="s">
        <v>31</v>
      </c>
    </row>
    <row r="20" spans="1:10">
      <c r="A20" s="3" t="s">
        <v>16</v>
      </c>
      <c r="B20" s="2" t="s">
        <v>44</v>
      </c>
      <c r="I20" s="3" t="s">
        <v>16</v>
      </c>
      <c r="J20" s="2" t="s">
        <v>45</v>
      </c>
    </row>
    <row r="21" spans="1:10">
      <c r="B21">
        <f>2*(1 -NORMSDIST(ABS(D13)))</f>
        <v>1.9731754008489588E-9</v>
      </c>
      <c r="J21" t="e">
        <f ca="1">_xlfn.NORM.S.DIST(J13,TRUE)</f>
        <v>#NAME?</v>
      </c>
    </row>
    <row r="23" spans="1:10">
      <c r="A23" t="s">
        <v>18</v>
      </c>
      <c r="B23" t="s">
        <v>19</v>
      </c>
      <c r="I23" t="s">
        <v>18</v>
      </c>
      <c r="J23" t="s">
        <v>19</v>
      </c>
    </row>
    <row r="25" spans="1:10">
      <c r="A25" s="3" t="s">
        <v>20</v>
      </c>
      <c r="B25" s="2" t="s">
        <v>21</v>
      </c>
      <c r="I25" s="3" t="s">
        <v>20</v>
      </c>
      <c r="J25" s="2" t="s">
        <v>21</v>
      </c>
    </row>
    <row r="26" spans="1:10">
      <c r="B26" s="2" t="s">
        <v>22</v>
      </c>
      <c r="J26" s="2" t="s">
        <v>22</v>
      </c>
    </row>
    <row r="28" spans="1:10">
      <c r="B28" t="e">
        <f ca="1">C3-_xlfn.NORM.S.INV(1-0.05/2)*(C5/SQRT(C6))</f>
        <v>#NAME?</v>
      </c>
      <c r="J28" t="e">
        <f ca="1">K3-_xlfn.NORM.S.INV(1-0.05/2)*(K5/SQRT(K6))</f>
        <v>#NAME?</v>
      </c>
    </row>
    <row r="29" spans="1:10">
      <c r="B29" t="e">
        <f ca="1">C3+_xlfn.NORM.S.INV(1-C7/2)*(C5/SQRT(C6))</f>
        <v>#NAME?</v>
      </c>
      <c r="J29" t="e">
        <f ca="1">K3+_xlfn.NORM.S.INV(1-K7/2)*(K5/SQRT(K6))</f>
        <v>#NAME?</v>
      </c>
    </row>
    <row r="30" spans="1:10">
      <c r="B30" t="s">
        <v>23</v>
      </c>
      <c r="J30" t="s">
        <v>24</v>
      </c>
    </row>
    <row r="31" spans="1:10">
      <c r="B31" t="s">
        <v>24</v>
      </c>
      <c r="J31" t="s">
        <v>25</v>
      </c>
    </row>
    <row r="32" spans="1:10">
      <c r="B32" t="s">
        <v>25</v>
      </c>
    </row>
    <row r="35" spans="1:10">
      <c r="I35" t="s">
        <v>32</v>
      </c>
      <c r="J35" t="s">
        <v>0</v>
      </c>
    </row>
    <row r="36" spans="1:10">
      <c r="A36" t="s">
        <v>26</v>
      </c>
      <c r="B36" t="s">
        <v>0</v>
      </c>
      <c r="C36">
        <v>79.2</v>
      </c>
      <c r="J36" t="s">
        <v>10</v>
      </c>
    </row>
    <row r="37" spans="1:10">
      <c r="B37" t="s">
        <v>10</v>
      </c>
      <c r="C37">
        <v>75</v>
      </c>
      <c r="J37" t="s">
        <v>1</v>
      </c>
    </row>
    <row r="38" spans="1:10">
      <c r="B38" t="s">
        <v>1</v>
      </c>
      <c r="C38">
        <v>9</v>
      </c>
      <c r="J38" t="s">
        <v>2</v>
      </c>
    </row>
    <row r="39" spans="1:10">
      <c r="B39" t="s">
        <v>2</v>
      </c>
      <c r="C39">
        <v>81</v>
      </c>
      <c r="J39" t="s">
        <v>3</v>
      </c>
    </row>
    <row r="40" spans="1:10">
      <c r="B40" t="s">
        <v>3</v>
      </c>
      <c r="C40">
        <v>0.05</v>
      </c>
    </row>
    <row r="47" spans="1:10">
      <c r="A47" t="s">
        <v>33</v>
      </c>
      <c r="B47" t="s">
        <v>34</v>
      </c>
      <c r="C47">
        <v>1225</v>
      </c>
    </row>
    <row r="48" spans="1:10">
      <c r="B48" t="s">
        <v>35</v>
      </c>
      <c r="C48">
        <v>1265</v>
      </c>
    </row>
    <row r="49" spans="1:4">
      <c r="B49" t="s">
        <v>36</v>
      </c>
      <c r="C49">
        <v>42</v>
      </c>
    </row>
    <row r="50" spans="1:4">
      <c r="B50" t="s">
        <v>37</v>
      </c>
      <c r="C50">
        <v>60</v>
      </c>
    </row>
    <row r="51" spans="1:4">
      <c r="B51" t="s">
        <v>38</v>
      </c>
      <c r="C51">
        <v>400</v>
      </c>
    </row>
    <row r="52" spans="1:4">
      <c r="B52" t="s">
        <v>39</v>
      </c>
      <c r="C52">
        <v>200</v>
      </c>
    </row>
    <row r="53" spans="1:4">
      <c r="A53" t="s">
        <v>5</v>
      </c>
      <c r="B53" t="s">
        <v>41</v>
      </c>
    </row>
    <row r="54" spans="1:4">
      <c r="A54" t="s">
        <v>6</v>
      </c>
      <c r="B54" t="s">
        <v>42</v>
      </c>
    </row>
    <row r="55" spans="1:4">
      <c r="A55" s="3" t="s">
        <v>9</v>
      </c>
      <c r="B55" s="2" t="s">
        <v>40</v>
      </c>
    </row>
    <row r="56" spans="1:4">
      <c r="B56">
        <f>(C47-C48)/SQRT((C49^2/C51)+(C50^2/C52))</f>
        <v>-8.449656673659705</v>
      </c>
      <c r="D56">
        <f>ABS(B56)</f>
        <v>8.449656673659705</v>
      </c>
    </row>
    <row r="58" spans="1:4">
      <c r="A58" s="3" t="s">
        <v>12</v>
      </c>
      <c r="B58">
        <f>NORMSINV(1-(0.05/2))</f>
        <v>1.9599639845400536</v>
      </c>
    </row>
    <row r="60" spans="1:4">
      <c r="A60" t="s">
        <v>14</v>
      </c>
      <c r="B60" t="s">
        <v>47</v>
      </c>
    </row>
    <row r="61" spans="1:4">
      <c r="A61" t="s">
        <v>43</v>
      </c>
    </row>
    <row r="63" spans="1:4">
      <c r="A63" s="3" t="s">
        <v>16</v>
      </c>
      <c r="B63" s="2" t="s">
        <v>17</v>
      </c>
    </row>
    <row r="64" spans="1:4">
      <c r="B64">
        <f>2*(1-NORMSDIST(ABS(B56)))</f>
        <v>0</v>
      </c>
    </row>
    <row r="66" spans="1:2">
      <c r="A66" t="s">
        <v>46</v>
      </c>
    </row>
    <row r="68" spans="1:2">
      <c r="A68" s="3" t="s">
        <v>20</v>
      </c>
      <c r="B68" s="2" t="s">
        <v>48</v>
      </c>
    </row>
    <row r="69" spans="1:2">
      <c r="B69" s="2" t="s">
        <v>49</v>
      </c>
    </row>
    <row r="71" spans="1:2">
      <c r="B71">
        <f>(C47-C48)-NORMSINV(1-0.05/2)*(SQRT((C49^2/C51)+(C50^2/C52)))</f>
        <v>-49.278313002467385</v>
      </c>
    </row>
    <row r="72" spans="1:2">
      <c r="B72">
        <f>(C47-C48)+NORMSINV(1-0.05/2)*(SQRT((C49^2/C51)+(C50^2/C52)))</f>
        <v>-30.721686997532615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R53"/>
  <sheetViews>
    <sheetView workbookViewId="0">
      <selection activeCell="F4" sqref="F4"/>
    </sheetView>
  </sheetViews>
  <sheetFormatPr defaultRowHeight="15"/>
  <cols>
    <col min="2" max="2" width="15.85546875" customWidth="1"/>
    <col min="3" max="3" width="11.5703125" customWidth="1"/>
    <col min="5" max="5" width="13.28515625" customWidth="1"/>
    <col min="6" max="6" width="12" bestFit="1" customWidth="1"/>
    <col min="12" max="12" width="18.7109375" customWidth="1"/>
    <col min="13" max="13" width="14.28515625" customWidth="1"/>
  </cols>
  <sheetData>
    <row r="1" spans="1:18" s="17" customFormat="1" ht="21">
      <c r="A1" s="22" t="s">
        <v>160</v>
      </c>
    </row>
    <row r="2" spans="1:18" ht="31.5">
      <c r="A2" s="9" t="s">
        <v>100</v>
      </c>
      <c r="B2" s="11" t="s">
        <v>101</v>
      </c>
      <c r="C2" s="12">
        <v>10.4</v>
      </c>
      <c r="L2" s="11" t="s">
        <v>101</v>
      </c>
      <c r="M2" s="12">
        <v>48.8</v>
      </c>
    </row>
    <row r="3" spans="1:18" ht="15.75">
      <c r="A3" s="9"/>
      <c r="B3" s="13" t="s">
        <v>102</v>
      </c>
      <c r="C3" s="12">
        <v>10</v>
      </c>
      <c r="L3" s="13" t="s">
        <v>102</v>
      </c>
      <c r="M3" s="12">
        <v>50</v>
      </c>
      <c r="O3" t="s">
        <v>115</v>
      </c>
    </row>
    <row r="4" spans="1:18" ht="15.75">
      <c r="A4" s="9"/>
      <c r="B4" s="13" t="s">
        <v>103</v>
      </c>
      <c r="C4" s="12">
        <v>1.2</v>
      </c>
      <c r="L4" s="13" t="s">
        <v>103</v>
      </c>
      <c r="M4" s="12">
        <v>2.5</v>
      </c>
    </row>
    <row r="5" spans="1:18" ht="15.75">
      <c r="A5" s="9"/>
      <c r="B5" s="13" t="s">
        <v>104</v>
      </c>
      <c r="C5" s="12">
        <v>12</v>
      </c>
      <c r="L5" s="13" t="s">
        <v>104</v>
      </c>
      <c r="M5" s="12">
        <v>15</v>
      </c>
      <c r="O5" t="s">
        <v>116</v>
      </c>
    </row>
    <row r="6" spans="1:18" ht="31.5">
      <c r="A6" s="9"/>
      <c r="B6" s="11" t="s">
        <v>105</v>
      </c>
      <c r="C6" s="12">
        <v>0.05</v>
      </c>
      <c r="L6" s="11" t="s">
        <v>105</v>
      </c>
      <c r="M6" s="12">
        <v>0.05</v>
      </c>
    </row>
    <row r="8" spans="1:18" ht="15.75">
      <c r="A8" s="9"/>
      <c r="B8" s="15" t="s">
        <v>106</v>
      </c>
      <c r="C8" s="9"/>
      <c r="L8" s="15" t="s">
        <v>117</v>
      </c>
      <c r="M8" s="9"/>
      <c r="N8" s="9"/>
      <c r="O8" s="9"/>
      <c r="P8" s="9"/>
      <c r="Q8" s="9"/>
      <c r="R8" s="9"/>
    </row>
    <row r="9" spans="1:18">
      <c r="A9" s="9"/>
      <c r="B9" s="16" t="s">
        <v>107</v>
      </c>
      <c r="C9" s="14" t="s">
        <v>108</v>
      </c>
      <c r="L9" s="16" t="s">
        <v>107</v>
      </c>
      <c r="M9" s="14" t="s">
        <v>108</v>
      </c>
      <c r="N9" s="9"/>
      <c r="O9" s="9"/>
      <c r="P9" s="9"/>
      <c r="Q9" s="9"/>
      <c r="R9" s="9"/>
    </row>
    <row r="10" spans="1:18">
      <c r="A10" s="9"/>
      <c r="B10" s="9"/>
      <c r="C10" s="9">
        <v>1.1547005383792526</v>
      </c>
      <c r="L10" s="9"/>
      <c r="M10" s="9">
        <f>(M2-M3)/(M4/SQRT(M5))</f>
        <v>-1.8590320061795647</v>
      </c>
      <c r="N10" s="9"/>
      <c r="O10" s="9"/>
      <c r="P10" s="9"/>
      <c r="Q10" s="9"/>
      <c r="R10" s="9"/>
    </row>
    <row r="11" spans="1:18" ht="15.75">
      <c r="A11" s="9"/>
      <c r="B11" s="10" t="s">
        <v>109</v>
      </c>
      <c r="C11" s="9" t="s">
        <v>110</v>
      </c>
      <c r="L11" s="10" t="s">
        <v>109</v>
      </c>
      <c r="M11" s="9" t="s">
        <v>114</v>
      </c>
      <c r="N11" s="9"/>
      <c r="O11" s="9"/>
      <c r="P11" s="9"/>
      <c r="Q11" s="9"/>
      <c r="R11" s="9"/>
    </row>
    <row r="12" spans="1:18">
      <c r="C12" t="e">
        <f ca="1">_xlfn.NORM.S.INV(1-0.05/2)</f>
        <v>#NAME?</v>
      </c>
      <c r="L12" s="9"/>
      <c r="M12" s="9" t="e">
        <f ca="1">_xlfn.NORM.S.INV(0.05)</f>
        <v>#NAME?</v>
      </c>
      <c r="N12" s="9"/>
      <c r="O12" s="9"/>
      <c r="P12" s="9"/>
      <c r="Q12" s="9"/>
      <c r="R12" s="9"/>
    </row>
    <row r="13" spans="1:18">
      <c r="B13" s="9" t="s">
        <v>64</v>
      </c>
      <c r="C13" s="9" t="s">
        <v>65</v>
      </c>
      <c r="D13" s="9"/>
      <c r="L13" s="9" t="s">
        <v>64</v>
      </c>
      <c r="M13" s="9" t="s">
        <v>120</v>
      </c>
      <c r="N13" s="9"/>
      <c r="O13" s="9"/>
      <c r="P13" s="9"/>
      <c r="Q13" s="9"/>
      <c r="R13" s="9"/>
    </row>
    <row r="14" spans="1:18">
      <c r="L14" s="9"/>
      <c r="M14" s="9"/>
      <c r="N14" s="9"/>
      <c r="O14" s="9"/>
      <c r="P14" s="9"/>
      <c r="Q14" s="9"/>
      <c r="R14" s="9"/>
    </row>
    <row r="15" spans="1:18">
      <c r="B15" t="s">
        <v>111</v>
      </c>
      <c r="L15" s="3" t="s">
        <v>122</v>
      </c>
      <c r="M15" s="9"/>
      <c r="N15" s="9"/>
      <c r="O15" s="9"/>
      <c r="P15" s="9"/>
      <c r="Q15" s="9"/>
      <c r="R15" s="9"/>
    </row>
    <row r="16" spans="1:18">
      <c r="L16" s="9"/>
      <c r="M16" s="9"/>
      <c r="N16" s="9"/>
      <c r="O16" s="9"/>
      <c r="P16" s="9"/>
      <c r="Q16" s="9"/>
      <c r="R16" s="9"/>
    </row>
    <row r="17" spans="1:18">
      <c r="B17" s="3" t="s">
        <v>62</v>
      </c>
      <c r="C17" s="4" t="s">
        <v>61</v>
      </c>
      <c r="D17" s="9"/>
      <c r="E17" s="9"/>
      <c r="F17" s="9"/>
      <c r="G17" s="9"/>
      <c r="L17" s="3" t="s">
        <v>62</v>
      </c>
      <c r="M17" s="4" t="s">
        <v>118</v>
      </c>
      <c r="N17" s="9"/>
      <c r="O17" s="9"/>
      <c r="P17" s="9"/>
      <c r="Q17" s="9"/>
      <c r="R17" s="9"/>
    </row>
    <row r="18" spans="1:18">
      <c r="B18" s="9"/>
      <c r="C18" s="9" t="s">
        <v>93</v>
      </c>
      <c r="D18" s="9"/>
      <c r="E18" s="9"/>
      <c r="F18" s="9"/>
      <c r="G18" s="9"/>
      <c r="L18" s="9"/>
      <c r="M18" s="9" t="s">
        <v>119</v>
      </c>
      <c r="N18" s="9"/>
      <c r="O18" s="9"/>
      <c r="P18" s="9"/>
      <c r="Q18" s="9"/>
      <c r="R18" s="9"/>
    </row>
    <row r="19" spans="1:18">
      <c r="B19" s="9"/>
      <c r="C19" s="9">
        <f>2*(1-NORMSDIST(ABS(C10)))</f>
        <v>0.24821307898992306</v>
      </c>
      <c r="D19" s="9"/>
      <c r="E19" s="9"/>
      <c r="F19" s="9"/>
      <c r="G19" s="9"/>
      <c r="L19" s="9"/>
      <c r="M19" s="9" t="e">
        <f ca="1">_xlfn.NORM.S.DIST(M10,TRUE)</f>
        <v>#NAME?</v>
      </c>
      <c r="N19" s="9"/>
      <c r="O19" s="9"/>
      <c r="P19" s="9"/>
      <c r="Q19" s="9"/>
      <c r="R19" s="9"/>
    </row>
    <row r="20" spans="1:18">
      <c r="B20" s="9"/>
      <c r="C20" s="9"/>
      <c r="D20" s="9"/>
      <c r="E20" s="9"/>
      <c r="F20" s="9"/>
      <c r="G20" s="9"/>
      <c r="L20" s="9"/>
      <c r="M20" s="9"/>
      <c r="N20" s="9"/>
      <c r="O20" s="9"/>
      <c r="P20" s="9"/>
      <c r="Q20" s="9"/>
      <c r="R20" s="9"/>
    </row>
    <row r="21" spans="1:18">
      <c r="B21" s="9" t="s">
        <v>67</v>
      </c>
      <c r="C21" s="9" t="s">
        <v>65</v>
      </c>
      <c r="D21" s="9"/>
      <c r="E21" s="9"/>
      <c r="F21" s="9"/>
      <c r="G21" s="9"/>
      <c r="L21" s="9" t="s">
        <v>121</v>
      </c>
      <c r="M21" s="9" t="s">
        <v>77</v>
      </c>
      <c r="N21" s="9"/>
      <c r="O21" s="9"/>
      <c r="P21" s="9"/>
      <c r="Q21" s="9"/>
      <c r="R21" s="9"/>
    </row>
    <row r="22" spans="1:18">
      <c r="B22" s="9"/>
      <c r="C22" s="9"/>
      <c r="D22" s="9"/>
      <c r="E22" s="9"/>
      <c r="F22" s="9"/>
      <c r="G22" s="9"/>
      <c r="L22" s="9"/>
      <c r="M22" s="9"/>
      <c r="N22" s="9"/>
      <c r="O22" s="9"/>
      <c r="P22" s="9"/>
      <c r="Q22" s="9"/>
      <c r="R22" s="9"/>
    </row>
    <row r="23" spans="1:18">
      <c r="B23" s="3" t="s">
        <v>20</v>
      </c>
      <c r="C23" s="2" t="s">
        <v>112</v>
      </c>
      <c r="D23" s="9"/>
      <c r="E23" s="9"/>
      <c r="F23" s="9"/>
      <c r="G23" s="9"/>
      <c r="L23" s="3" t="s">
        <v>20</v>
      </c>
      <c r="M23" s="2" t="s">
        <v>112</v>
      </c>
      <c r="N23" s="9"/>
      <c r="O23" s="9"/>
      <c r="P23" s="9"/>
      <c r="Q23" s="9"/>
      <c r="R23" s="9"/>
    </row>
    <row r="24" spans="1:18">
      <c r="B24" s="3"/>
      <c r="C24" s="2" t="s">
        <v>113</v>
      </c>
      <c r="D24" s="9"/>
      <c r="E24" s="9"/>
      <c r="F24" s="9"/>
      <c r="G24" s="9"/>
      <c r="L24" s="3"/>
      <c r="M24" s="2" t="s">
        <v>113</v>
      </c>
      <c r="N24" s="9"/>
      <c r="O24" s="9"/>
      <c r="P24" s="9"/>
      <c r="Q24" s="9"/>
      <c r="R24" s="9"/>
    </row>
    <row r="26" spans="1:18">
      <c r="C26" t="e">
        <f ca="1">C2-_xlfn.NORM.S.INV((1-(C6/2))*((C4/SQRT(C5))))</f>
        <v>#NAME?</v>
      </c>
      <c r="E26" t="e">
        <f ca="1">C2-_xlfn.NORM.S.INV((1-0.025)*(1.2/SQRT(12)))</f>
        <v>#NAME?</v>
      </c>
    </row>
    <row r="27" spans="1:18">
      <c r="C27" t="e">
        <f ca="1">C2+_xlfn.NORM.S.INV((1-C6/2)*((C4/SQRT(C5))))</f>
        <v>#NAME?</v>
      </c>
      <c r="E27" t="e">
        <f ca="1">C2+_xlfn.NORM.S.INV((1-0.025)*(1.2/SQRT(12)))</f>
        <v>#NAME?</v>
      </c>
    </row>
    <row r="30" spans="1:18" ht="15.75">
      <c r="A30" t="s">
        <v>32</v>
      </c>
      <c r="B30" s="8" t="s">
        <v>123</v>
      </c>
    </row>
    <row r="31" spans="1:18">
      <c r="F31" t="s">
        <v>127</v>
      </c>
      <c r="G31" t="s">
        <v>128</v>
      </c>
    </row>
    <row r="32" spans="1:18" ht="31.5">
      <c r="B32" s="11" t="s">
        <v>101</v>
      </c>
      <c r="C32" s="12">
        <f>AVERAGE(F32:F38)</f>
        <v>7</v>
      </c>
      <c r="E32" t="s">
        <v>124</v>
      </c>
      <c r="F32">
        <v>6.8</v>
      </c>
      <c r="G32">
        <f t="shared" ref="G32:G38" si="0">(F32-7)^2</f>
        <v>4.000000000000007E-2</v>
      </c>
    </row>
    <row r="33" spans="1:7" ht="15.75">
      <c r="B33" s="13" t="s">
        <v>102</v>
      </c>
      <c r="C33" s="12">
        <v>7</v>
      </c>
      <c r="F33">
        <v>7.2</v>
      </c>
      <c r="G33" s="9">
        <f t="shared" si="0"/>
        <v>4.000000000000007E-2</v>
      </c>
    </row>
    <row r="34" spans="1:7" ht="15.75">
      <c r="B34" s="13" t="s">
        <v>103</v>
      </c>
      <c r="C34" s="12" t="e">
        <f ca="1">_xlfn.STDEV.P(F32:F38)</f>
        <v>#NAME?</v>
      </c>
      <c r="F34">
        <v>7.1</v>
      </c>
      <c r="G34" s="9">
        <f t="shared" si="0"/>
        <v>9.9999999999999291E-3</v>
      </c>
    </row>
    <row r="35" spans="1:7" ht="15.75">
      <c r="B35" s="13" t="s">
        <v>104</v>
      </c>
      <c r="C35" s="12">
        <v>7</v>
      </c>
      <c r="F35">
        <v>6.9</v>
      </c>
      <c r="G35" s="9">
        <f t="shared" si="0"/>
        <v>9.9999999999999291E-3</v>
      </c>
    </row>
    <row r="36" spans="1:7" ht="31.5">
      <c r="B36" s="11" t="s">
        <v>105</v>
      </c>
      <c r="C36" s="12">
        <v>0.05</v>
      </c>
      <c r="F36">
        <v>7.3</v>
      </c>
      <c r="G36" s="9">
        <f t="shared" si="0"/>
        <v>8.99999999999999E-2</v>
      </c>
    </row>
    <row r="37" spans="1:7">
      <c r="F37">
        <v>7</v>
      </c>
      <c r="G37" s="9">
        <f t="shared" si="0"/>
        <v>0</v>
      </c>
    </row>
    <row r="38" spans="1:7">
      <c r="F38">
        <v>6.7</v>
      </c>
      <c r="G38" s="9">
        <f t="shared" si="0"/>
        <v>8.99999999999999E-2</v>
      </c>
    </row>
    <row r="39" spans="1:7">
      <c r="G39">
        <f>SUM(G32:G38)</f>
        <v>0.2799999999999998</v>
      </c>
    </row>
    <row r="40" spans="1:7">
      <c r="B40" s="14" t="s">
        <v>125</v>
      </c>
    </row>
    <row r="42" spans="1:7">
      <c r="B42" t="s">
        <v>126</v>
      </c>
    </row>
    <row r="44" spans="1:7">
      <c r="B44">
        <f>(SQRT(G39)/(C35-1))</f>
        <v>8.8191710368819662E-2</v>
      </c>
    </row>
    <row r="46" spans="1:7">
      <c r="A46" t="s">
        <v>129</v>
      </c>
      <c r="B46">
        <f>(C32-C33)/(B44/SQRT(C35))</f>
        <v>0</v>
      </c>
    </row>
    <row r="48" spans="1:7" ht="31.5">
      <c r="A48" s="10" t="s">
        <v>109</v>
      </c>
      <c r="B48" s="2" t="s">
        <v>130</v>
      </c>
    </row>
    <row r="49" spans="1:2">
      <c r="B49" t="e">
        <f ca="1">_xlfn.T.INV.2T(C36,6)</f>
        <v>#NAME?</v>
      </c>
    </row>
    <row r="50" spans="1:2">
      <c r="A50" s="3" t="s">
        <v>62</v>
      </c>
      <c r="B50" s="2" t="s">
        <v>131</v>
      </c>
    </row>
    <row r="51" spans="1:2">
      <c r="B51" t="e">
        <f ca="1">2*(1-_xlfn.T.DIST.2T(B46,6))</f>
        <v>#NAME?</v>
      </c>
    </row>
    <row r="52" spans="1:2">
      <c r="A52" s="14" t="s">
        <v>132</v>
      </c>
    </row>
    <row r="53" spans="1:2">
      <c r="A53" t="s">
        <v>133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/>
  </sheetViews>
  <sheetFormatPr defaultRowHeight="15"/>
  <sheetData>
    <row r="1" spans="1:10" ht="23.25">
      <c r="A1" s="23" t="s">
        <v>134</v>
      </c>
      <c r="B1" s="23"/>
      <c r="C1" s="17"/>
      <c r="D1" s="17"/>
      <c r="E1" s="17"/>
      <c r="F1" s="17"/>
      <c r="G1" s="17"/>
      <c r="H1" s="17"/>
      <c r="I1" s="17"/>
      <c r="J1" s="17"/>
    </row>
    <row r="3" spans="1:10">
      <c r="A3" s="17" t="s">
        <v>135</v>
      </c>
      <c r="B3" s="17"/>
      <c r="C3" s="17"/>
      <c r="D3" s="17"/>
      <c r="E3" s="17"/>
      <c r="F3" s="17"/>
      <c r="G3" s="17"/>
      <c r="H3" s="17"/>
      <c r="I3" s="17"/>
      <c r="J3" s="17"/>
    </row>
    <row r="5" spans="1:10">
      <c r="A5" s="17"/>
      <c r="B5" s="17" t="s">
        <v>136</v>
      </c>
      <c r="C5" s="17" t="s">
        <v>137</v>
      </c>
      <c r="D5" s="17"/>
      <c r="E5" s="17"/>
      <c r="F5" s="17"/>
      <c r="G5" s="17"/>
      <c r="H5" s="17"/>
      <c r="I5" s="17"/>
      <c r="J5" s="17"/>
    </row>
    <row r="6" spans="1:10">
      <c r="A6" s="17"/>
      <c r="B6" s="17">
        <v>25</v>
      </c>
      <c r="C6" s="17">
        <v>44</v>
      </c>
      <c r="D6" s="17"/>
      <c r="E6" s="17"/>
      <c r="F6" s="17" t="s">
        <v>138</v>
      </c>
      <c r="G6" s="17"/>
      <c r="H6" s="17"/>
      <c r="I6" s="17"/>
      <c r="J6" s="17"/>
    </row>
    <row r="7" spans="1:10" ht="15.75" thickBot="1">
      <c r="A7" s="17"/>
      <c r="B7" s="17">
        <v>32</v>
      </c>
      <c r="C7" s="17">
        <v>34</v>
      </c>
      <c r="D7" s="17"/>
      <c r="E7" s="17"/>
      <c r="F7" s="17"/>
      <c r="G7" s="17"/>
      <c r="H7" s="17"/>
      <c r="I7" s="17"/>
      <c r="J7" s="17"/>
    </row>
    <row r="8" spans="1:10">
      <c r="A8" s="17"/>
      <c r="B8" s="17">
        <v>30</v>
      </c>
      <c r="C8" s="17">
        <v>22</v>
      </c>
      <c r="D8" s="17"/>
      <c r="E8" s="17"/>
      <c r="F8" s="21"/>
      <c r="G8" s="21" t="s">
        <v>139</v>
      </c>
      <c r="H8" s="21" t="s">
        <v>140</v>
      </c>
      <c r="I8" s="17"/>
      <c r="J8" s="17"/>
    </row>
    <row r="9" spans="1:10">
      <c r="A9" s="17"/>
      <c r="B9" s="17">
        <v>34</v>
      </c>
      <c r="C9" s="17">
        <v>10</v>
      </c>
      <c r="D9" s="17"/>
      <c r="E9" s="17"/>
      <c r="F9" s="19" t="s">
        <v>141</v>
      </c>
      <c r="G9" s="19">
        <v>28</v>
      </c>
      <c r="H9" s="19">
        <v>30</v>
      </c>
      <c r="I9" s="17"/>
      <c r="J9" s="17"/>
    </row>
    <row r="10" spans="1:10">
      <c r="A10" s="17"/>
      <c r="B10" s="17">
        <v>24</v>
      </c>
      <c r="C10" s="17">
        <v>47</v>
      </c>
      <c r="D10" s="17"/>
      <c r="E10" s="17"/>
      <c r="F10" s="19" t="s">
        <v>142</v>
      </c>
      <c r="G10" s="19">
        <v>34.545454545454547</v>
      </c>
      <c r="H10" s="19">
        <v>100.71428571428571</v>
      </c>
      <c r="I10" s="17"/>
      <c r="J10" s="17"/>
    </row>
    <row r="11" spans="1:10">
      <c r="A11" s="17"/>
      <c r="B11" s="17">
        <v>14</v>
      </c>
      <c r="C11" s="17">
        <v>31</v>
      </c>
      <c r="D11" s="17"/>
      <c r="E11" s="17"/>
      <c r="F11" s="19" t="s">
        <v>143</v>
      </c>
      <c r="G11" s="19">
        <v>12</v>
      </c>
      <c r="H11" s="19">
        <v>15</v>
      </c>
      <c r="I11" s="17"/>
      <c r="J11" s="17"/>
    </row>
    <row r="12" spans="1:10">
      <c r="A12" s="17"/>
      <c r="B12" s="17">
        <v>32</v>
      </c>
      <c r="C12" s="17">
        <v>40</v>
      </c>
      <c r="D12" s="17"/>
      <c r="E12" s="17"/>
      <c r="F12" s="19" t="s">
        <v>144</v>
      </c>
      <c r="G12" s="19">
        <v>71.599999999999994</v>
      </c>
      <c r="H12" s="19"/>
      <c r="I12" s="17"/>
      <c r="J12" s="17"/>
    </row>
    <row r="13" spans="1:10">
      <c r="A13" s="17"/>
      <c r="B13" s="17">
        <v>24</v>
      </c>
      <c r="C13" s="17">
        <v>30</v>
      </c>
      <c r="D13" s="17"/>
      <c r="E13" s="17"/>
      <c r="F13" s="19" t="s">
        <v>145</v>
      </c>
      <c r="G13" s="19">
        <v>0</v>
      </c>
      <c r="H13" s="19"/>
      <c r="I13" s="17"/>
      <c r="J13" s="17"/>
    </row>
    <row r="14" spans="1:10">
      <c r="A14" s="17"/>
      <c r="B14" s="17">
        <v>30</v>
      </c>
      <c r="C14" s="17">
        <v>32</v>
      </c>
      <c r="D14" s="17"/>
      <c r="E14" s="17"/>
      <c r="F14" s="19" t="s">
        <v>146</v>
      </c>
      <c r="G14" s="19">
        <v>25</v>
      </c>
      <c r="H14" s="19"/>
      <c r="I14" s="17"/>
      <c r="J14" s="17"/>
    </row>
    <row r="15" spans="1:10">
      <c r="A15" s="17"/>
      <c r="B15" s="17">
        <v>31</v>
      </c>
      <c r="C15" s="17">
        <v>35</v>
      </c>
      <c r="D15" s="17"/>
      <c r="E15" s="17"/>
      <c r="F15" s="19" t="s">
        <v>147</v>
      </c>
      <c r="G15" s="19">
        <v>-0.61027819769735347</v>
      </c>
      <c r="H15" s="19"/>
      <c r="I15" s="17"/>
      <c r="J15" s="17"/>
    </row>
    <row r="16" spans="1:10">
      <c r="A16" s="17"/>
      <c r="B16" s="17">
        <v>35</v>
      </c>
      <c r="C16" s="17">
        <v>18</v>
      </c>
      <c r="D16" s="17"/>
      <c r="E16" s="17"/>
      <c r="F16" s="19" t="s">
        <v>148</v>
      </c>
      <c r="G16" s="19">
        <v>0.27359283649112387</v>
      </c>
      <c r="H16" s="19"/>
      <c r="I16" s="17"/>
      <c r="J16" s="17"/>
    </row>
    <row r="17" spans="2:10">
      <c r="B17" s="17">
        <v>25</v>
      </c>
      <c r="C17" s="17">
        <v>21</v>
      </c>
      <c r="D17" s="17"/>
      <c r="E17" s="17"/>
      <c r="F17" s="19" t="s">
        <v>149</v>
      </c>
      <c r="G17" s="19">
        <v>1.7081407452327646</v>
      </c>
      <c r="H17" s="19"/>
      <c r="I17" s="17"/>
      <c r="J17" s="17"/>
    </row>
    <row r="18" spans="2:10">
      <c r="B18" s="17"/>
      <c r="C18" s="17">
        <v>35</v>
      </c>
      <c r="D18" s="17"/>
      <c r="E18" s="17"/>
      <c r="F18" s="19" t="s">
        <v>150</v>
      </c>
      <c r="G18" s="19">
        <v>0.54718567298224774</v>
      </c>
      <c r="H18" s="19"/>
      <c r="I18" s="17"/>
      <c r="J18" s="17"/>
    </row>
    <row r="19" spans="2:10" ht="15.75" thickBot="1">
      <c r="B19" s="17"/>
      <c r="C19" s="17">
        <v>29</v>
      </c>
      <c r="D19" s="17"/>
      <c r="E19" s="17"/>
      <c r="F19" s="20" t="s">
        <v>151</v>
      </c>
      <c r="G19" s="20">
        <v>2.0595385356585911</v>
      </c>
      <c r="H19" s="20"/>
      <c r="I19" s="17"/>
      <c r="J19" s="17"/>
    </row>
    <row r="20" spans="2:10">
      <c r="B20" s="17"/>
      <c r="C20" s="17">
        <v>22</v>
      </c>
      <c r="D20" s="17"/>
      <c r="E20" s="17"/>
      <c r="F20" s="17"/>
      <c r="G20" s="17"/>
      <c r="H20" s="17"/>
      <c r="I20" s="17"/>
      <c r="J20" s="17"/>
    </row>
    <row r="21" spans="2:10">
      <c r="B21" s="17"/>
      <c r="C21" s="17"/>
      <c r="D21" s="17"/>
      <c r="E21" s="17"/>
      <c r="F21" s="17"/>
      <c r="G21" s="17"/>
      <c r="H21" s="17"/>
      <c r="I21" s="17"/>
      <c r="J21" s="17"/>
    </row>
    <row r="22" spans="2:10">
      <c r="B22" s="18" t="s">
        <v>152</v>
      </c>
      <c r="C22" s="17"/>
      <c r="D22" s="17"/>
      <c r="E22" s="17"/>
      <c r="F22" s="17"/>
      <c r="G22" s="17"/>
      <c r="H22" s="17"/>
      <c r="I22" s="17"/>
      <c r="J22" s="17"/>
    </row>
    <row r="23" spans="2:10">
      <c r="B23" s="18" t="s">
        <v>153</v>
      </c>
      <c r="C23" s="17"/>
      <c r="D23" s="17"/>
      <c r="E23" s="17"/>
      <c r="F23" s="17"/>
      <c r="G23" s="17"/>
      <c r="H23" s="17"/>
      <c r="I23" s="17"/>
      <c r="J23" s="17"/>
    </row>
    <row r="24" spans="2:10">
      <c r="B24" s="17"/>
      <c r="C24" s="17"/>
      <c r="D24" s="17"/>
      <c r="E24" s="17"/>
      <c r="F24" s="17"/>
      <c r="G24" s="17"/>
      <c r="H24" s="17"/>
      <c r="I24" s="17"/>
      <c r="J24" s="17"/>
    </row>
    <row r="25" spans="2:10">
      <c r="B25" s="17"/>
      <c r="C25" s="17"/>
      <c r="D25" s="17"/>
      <c r="E25" s="17"/>
      <c r="F25" s="17"/>
      <c r="G25" s="17"/>
      <c r="H25" s="17"/>
      <c r="I25" s="17"/>
      <c r="J25" s="17"/>
    </row>
    <row r="26" spans="2:10">
      <c r="B26" s="17" t="s">
        <v>154</v>
      </c>
      <c r="C26" s="17"/>
      <c r="D26" s="17" t="s">
        <v>155</v>
      </c>
      <c r="E26" s="17"/>
      <c r="F26" s="17"/>
      <c r="G26" s="17"/>
      <c r="H26" s="17"/>
      <c r="I26" s="17"/>
      <c r="J26" s="17"/>
    </row>
    <row r="28" spans="2:10">
      <c r="B28" s="17" t="s">
        <v>156</v>
      </c>
      <c r="C28" s="17"/>
      <c r="D28" s="17" t="s">
        <v>155</v>
      </c>
      <c r="E28" s="17"/>
      <c r="F28" s="17"/>
      <c r="G28" s="17"/>
      <c r="H28" s="17"/>
      <c r="I28" s="17"/>
      <c r="J28" s="17"/>
    </row>
    <row r="30" spans="2:10">
      <c r="B30" s="17" t="s">
        <v>157</v>
      </c>
      <c r="C30" s="17"/>
      <c r="D30" s="17"/>
      <c r="E30" s="17"/>
      <c r="F30" s="17"/>
      <c r="G30" s="17"/>
      <c r="H30" s="17"/>
      <c r="I30" s="17"/>
      <c r="J30" s="1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0"/>
  <sheetViews>
    <sheetView workbookViewId="0">
      <selection activeCell="I9" sqref="I9"/>
    </sheetView>
  </sheetViews>
  <sheetFormatPr defaultRowHeight="15"/>
  <sheetData>
    <row r="1" spans="1:7" ht="21">
      <c r="A1" s="28" t="s">
        <v>161</v>
      </c>
      <c r="B1" s="24"/>
      <c r="C1" s="24"/>
      <c r="D1" s="24"/>
      <c r="E1" s="24"/>
      <c r="F1" s="24"/>
      <c r="G1" s="24"/>
    </row>
    <row r="3" spans="1:7" ht="15.75">
      <c r="A3" s="24" t="s">
        <v>100</v>
      </c>
      <c r="B3" s="24"/>
      <c r="C3" s="24"/>
      <c r="D3" s="24"/>
      <c r="E3" s="24"/>
      <c r="F3" s="24"/>
      <c r="G3" s="32"/>
    </row>
    <row r="4" spans="1:7" ht="47.25">
      <c r="A4" s="31" t="s">
        <v>162</v>
      </c>
      <c r="B4" s="31" t="s">
        <v>163</v>
      </c>
      <c r="C4" s="24"/>
      <c r="D4" s="24"/>
      <c r="E4" s="24" t="s">
        <v>164</v>
      </c>
      <c r="F4" s="24"/>
      <c r="G4" s="24"/>
    </row>
    <row r="5" spans="1:7" ht="16.5" thickBot="1">
      <c r="A5" s="30">
        <v>6</v>
      </c>
      <c r="B5" s="30">
        <v>7</v>
      </c>
      <c r="C5" s="24"/>
      <c r="D5" s="24"/>
      <c r="E5" s="24"/>
      <c r="F5" s="24"/>
      <c r="G5" s="24"/>
    </row>
    <row r="6" spans="1:7" ht="16.5" thickBot="1">
      <c r="A6" s="29">
        <v>5</v>
      </c>
      <c r="B6" s="30">
        <v>8</v>
      </c>
      <c r="C6" s="24"/>
      <c r="D6" s="24"/>
      <c r="E6" s="27"/>
      <c r="F6" s="27" t="s">
        <v>139</v>
      </c>
      <c r="G6" s="27" t="s">
        <v>140</v>
      </c>
    </row>
    <row r="7" spans="1:7" ht="16.5" thickBot="1">
      <c r="A7" s="29">
        <v>7</v>
      </c>
      <c r="B7" s="30">
        <v>7.5</v>
      </c>
      <c r="C7" s="24"/>
      <c r="D7" s="24"/>
      <c r="E7" s="25" t="s">
        <v>141</v>
      </c>
      <c r="F7" s="25">
        <v>6.9</v>
      </c>
      <c r="G7" s="25">
        <v>7.55</v>
      </c>
    </row>
    <row r="8" spans="1:7" ht="16.5" thickBot="1">
      <c r="A8" s="29">
        <v>7</v>
      </c>
      <c r="B8" s="30">
        <v>9</v>
      </c>
      <c r="C8" s="24"/>
      <c r="D8" s="24"/>
      <c r="E8" s="25" t="s">
        <v>142</v>
      </c>
      <c r="F8" s="25">
        <v>1.4333333333333309</v>
      </c>
      <c r="G8" s="25">
        <v>0.63611111111111363</v>
      </c>
    </row>
    <row r="9" spans="1:7" ht="16.5" thickBot="1">
      <c r="A9" s="29">
        <v>8</v>
      </c>
      <c r="B9" s="30">
        <v>7</v>
      </c>
      <c r="C9" s="24"/>
      <c r="D9" s="24"/>
      <c r="E9" s="25" t="s">
        <v>143</v>
      </c>
      <c r="F9" s="25">
        <v>10</v>
      </c>
      <c r="G9" s="25">
        <v>10</v>
      </c>
    </row>
    <row r="10" spans="1:7" ht="16.5" thickBot="1">
      <c r="A10" s="29">
        <v>9</v>
      </c>
      <c r="B10" s="30">
        <v>6.5</v>
      </c>
      <c r="C10" s="24"/>
      <c r="D10" s="24"/>
      <c r="E10" s="25" t="s">
        <v>165</v>
      </c>
      <c r="F10" s="25">
        <v>-0.40145465162438465</v>
      </c>
      <c r="G10" s="25"/>
    </row>
    <row r="11" spans="1:7" ht="16.5" thickBot="1">
      <c r="A11" s="29">
        <v>6</v>
      </c>
      <c r="B11" s="30">
        <v>7</v>
      </c>
      <c r="C11" s="24"/>
      <c r="D11" s="24"/>
      <c r="E11" s="25" t="s">
        <v>145</v>
      </c>
      <c r="F11" s="25">
        <v>0</v>
      </c>
      <c r="G11" s="25"/>
    </row>
    <row r="12" spans="1:7" ht="16.5" thickBot="1">
      <c r="A12" s="29">
        <v>6</v>
      </c>
      <c r="B12" s="30">
        <v>8</v>
      </c>
      <c r="C12" s="24"/>
      <c r="D12" s="24"/>
      <c r="E12" s="25" t="s">
        <v>146</v>
      </c>
      <c r="F12" s="25">
        <v>9</v>
      </c>
      <c r="G12" s="25"/>
    </row>
    <row r="13" spans="1:7" ht="16.5" thickBot="1">
      <c r="A13" s="29">
        <v>7</v>
      </c>
      <c r="B13" s="30">
        <v>8.5</v>
      </c>
      <c r="C13" s="24"/>
      <c r="D13" s="24"/>
      <c r="E13" s="34" t="s">
        <v>147</v>
      </c>
      <c r="F13" s="34">
        <v>-1.2205392106525914</v>
      </c>
      <c r="G13" s="25"/>
    </row>
    <row r="14" spans="1:7" ht="16.5" thickBot="1">
      <c r="A14" s="29">
        <v>8</v>
      </c>
      <c r="B14" s="30">
        <v>7</v>
      </c>
      <c r="C14" s="24"/>
      <c r="D14" s="24"/>
      <c r="E14" s="25" t="s">
        <v>148</v>
      </c>
      <c r="F14" s="25">
        <v>0.12663663348991672</v>
      </c>
      <c r="G14" s="25"/>
    </row>
    <row r="15" spans="1:7">
      <c r="A15" s="24"/>
      <c r="B15" s="24"/>
      <c r="C15" s="24"/>
      <c r="D15" s="24"/>
      <c r="E15" s="25" t="s">
        <v>149</v>
      </c>
      <c r="F15" s="25">
        <v>1.83311292255007</v>
      </c>
      <c r="G15" s="25"/>
    </row>
    <row r="16" spans="1:7">
      <c r="A16" s="24"/>
      <c r="B16" s="24"/>
      <c r="C16" s="24"/>
      <c r="D16" s="24"/>
      <c r="E16" s="34" t="s">
        <v>150</v>
      </c>
      <c r="F16" s="34">
        <v>0.25327326697983343</v>
      </c>
      <c r="G16" s="25"/>
    </row>
    <row r="17" spans="1:7" ht="15.75" thickBot="1">
      <c r="A17" s="24"/>
      <c r="B17" s="24"/>
      <c r="C17" s="24"/>
      <c r="D17" s="24"/>
      <c r="E17" s="35" t="s">
        <v>151</v>
      </c>
      <c r="F17" s="35">
        <v>2.2621571581735829</v>
      </c>
      <c r="G17" s="26"/>
    </row>
    <row r="19" spans="1:7">
      <c r="A19" s="24" t="s">
        <v>166</v>
      </c>
      <c r="B19" s="24"/>
      <c r="C19" s="24"/>
      <c r="D19" s="24"/>
      <c r="E19" s="24"/>
      <c r="F19" s="24"/>
      <c r="G19" s="24"/>
    </row>
    <row r="20" spans="1:7">
      <c r="A20" s="24" t="s">
        <v>167</v>
      </c>
      <c r="B20" s="33"/>
      <c r="C20" s="24"/>
      <c r="D20" s="24"/>
      <c r="E20" s="24"/>
      <c r="F20" s="24"/>
      <c r="G20" s="24"/>
    </row>
    <row r="22" spans="1:7">
      <c r="A22" s="24" t="s">
        <v>168</v>
      </c>
      <c r="B22" s="24">
        <v>-1.220539211</v>
      </c>
      <c r="C22" s="24">
        <v>1.220539211</v>
      </c>
      <c r="D22" s="24"/>
      <c r="E22" s="24"/>
      <c r="F22" s="24"/>
      <c r="G22" s="24"/>
    </row>
    <row r="23" spans="1:7">
      <c r="A23" s="36" t="s">
        <v>151</v>
      </c>
      <c r="B23" s="36">
        <v>2.2621571581735829</v>
      </c>
      <c r="C23" s="24"/>
      <c r="D23" s="24"/>
      <c r="E23" s="24"/>
      <c r="F23" s="24"/>
      <c r="G23" s="24"/>
    </row>
    <row r="24" spans="1:7">
      <c r="A24" s="24" t="s">
        <v>169</v>
      </c>
      <c r="B24" s="36">
        <v>0.25327326697983343</v>
      </c>
      <c r="C24" s="24"/>
      <c r="D24" s="24"/>
      <c r="E24" s="24"/>
      <c r="F24" s="24"/>
      <c r="G24" s="24"/>
    </row>
    <row r="26" spans="1:7">
      <c r="A26" s="24" t="s">
        <v>154</v>
      </c>
      <c r="B26" s="24"/>
      <c r="C26" s="24" t="s">
        <v>155</v>
      </c>
      <c r="D26" s="24"/>
      <c r="E26" s="24"/>
      <c r="F26" s="24"/>
      <c r="G26" s="24"/>
    </row>
    <row r="28" spans="1:7">
      <c r="A28" s="24" t="s">
        <v>156</v>
      </c>
      <c r="B28" s="24"/>
      <c r="C28" s="24" t="s">
        <v>155</v>
      </c>
      <c r="D28" s="24"/>
      <c r="E28" s="24"/>
      <c r="F28" s="24"/>
      <c r="G28" s="24"/>
    </row>
    <row r="30" spans="1:7">
      <c r="A30" s="24" t="s">
        <v>170</v>
      </c>
      <c r="B30" s="24"/>
      <c r="C30" s="24"/>
      <c r="D30" s="24"/>
      <c r="E30" s="24"/>
      <c r="F30" s="24"/>
      <c r="G30" s="2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3:H33"/>
  <sheetViews>
    <sheetView topLeftCell="A16" workbookViewId="0">
      <selection activeCell="G37" sqref="G37"/>
    </sheetView>
  </sheetViews>
  <sheetFormatPr defaultRowHeight="15"/>
  <cols>
    <col min="1" max="2" width="9.140625" style="24"/>
    <col min="3" max="3" width="58.140625" style="24" bestFit="1" customWidth="1"/>
    <col min="4" max="4" width="24.5703125" style="24" bestFit="1" customWidth="1"/>
    <col min="5" max="6" width="13.140625" style="24" bestFit="1" customWidth="1"/>
    <col min="7" max="16384" width="9.140625" style="24"/>
  </cols>
  <sheetData>
    <row r="3" spans="2:8">
      <c r="C3" s="18" t="s">
        <v>196</v>
      </c>
    </row>
    <row r="5" spans="2:8" ht="15.75" thickBot="1">
      <c r="B5" s="24" t="s">
        <v>100</v>
      </c>
      <c r="C5" s="18" t="s">
        <v>195</v>
      </c>
      <c r="H5" s="24" t="s">
        <v>194</v>
      </c>
    </row>
    <row r="6" spans="2:8" ht="16.5" thickBot="1">
      <c r="C6" s="44"/>
      <c r="D6" s="43" t="s">
        <v>189</v>
      </c>
      <c r="E6" s="43" t="s">
        <v>188</v>
      </c>
      <c r="F6" s="43" t="s">
        <v>185</v>
      </c>
      <c r="H6" s="24" t="s">
        <v>193</v>
      </c>
    </row>
    <row r="7" spans="2:8" ht="16.5" thickBot="1">
      <c r="C7" s="42" t="s">
        <v>187</v>
      </c>
      <c r="D7" s="41">
        <v>30</v>
      </c>
      <c r="E7" s="41">
        <v>20</v>
      </c>
      <c r="F7" s="45">
        <v>50</v>
      </c>
      <c r="H7" s="24" t="s">
        <v>192</v>
      </c>
    </row>
    <row r="8" spans="2:8" ht="16.5" thickBot="1">
      <c r="C8" s="42" t="s">
        <v>186</v>
      </c>
      <c r="D8" s="41">
        <v>40</v>
      </c>
      <c r="E8" s="41">
        <v>60</v>
      </c>
      <c r="F8" s="41">
        <v>100</v>
      </c>
    </row>
    <row r="9" spans="2:8" ht="16.5" thickBot="1">
      <c r="C9" s="42" t="s">
        <v>185</v>
      </c>
      <c r="D9" s="45">
        <v>70</v>
      </c>
      <c r="E9" s="41">
        <v>80</v>
      </c>
      <c r="F9" s="41">
        <v>150</v>
      </c>
    </row>
    <row r="11" spans="2:8" ht="16.5" thickBot="1">
      <c r="C11" s="37" t="s">
        <v>191</v>
      </c>
    </row>
    <row r="12" spans="2:8" ht="16.5" thickBot="1">
      <c r="C12" s="44"/>
      <c r="D12" s="43" t="s">
        <v>189</v>
      </c>
      <c r="E12" s="43" t="s">
        <v>188</v>
      </c>
      <c r="F12" s="43" t="s">
        <v>185</v>
      </c>
    </row>
    <row r="13" spans="2:8" ht="16.5" thickBot="1">
      <c r="C13" s="42" t="s">
        <v>187</v>
      </c>
      <c r="D13" s="41">
        <f>(D9*F7)/F9</f>
        <v>23.333333333333332</v>
      </c>
      <c r="E13" s="41">
        <f>(E9*F7)/F9</f>
        <v>26.666666666666668</v>
      </c>
      <c r="F13" s="41">
        <f>SUM(D13:E13)</f>
        <v>50</v>
      </c>
    </row>
    <row r="14" spans="2:8" ht="16.5" thickBot="1">
      <c r="C14" s="42" t="s">
        <v>186</v>
      </c>
      <c r="D14" s="41">
        <f>(D9*F8)/F9</f>
        <v>46.666666666666664</v>
      </c>
      <c r="E14" s="41">
        <f>(E9*F8)/F9</f>
        <v>53.333333333333336</v>
      </c>
      <c r="F14" s="41">
        <f>SUM(D14:E14)</f>
        <v>100</v>
      </c>
    </row>
    <row r="15" spans="2:8" ht="16.5" thickBot="1">
      <c r="C15" s="42" t="s">
        <v>185</v>
      </c>
      <c r="D15" s="41">
        <f>SUM(D13:D14)</f>
        <v>70</v>
      </c>
      <c r="E15" s="41">
        <f>SUM(E13:E14)</f>
        <v>80</v>
      </c>
      <c r="F15" s="41">
        <f>SUM(F13:F14)</f>
        <v>150</v>
      </c>
    </row>
    <row r="17" spans="3:6" ht="15.75">
      <c r="C17" s="37" t="s">
        <v>190</v>
      </c>
    </row>
    <row r="18" spans="3:6" ht="15.75" thickBot="1"/>
    <row r="19" spans="3:6" ht="16.5" thickBot="1">
      <c r="C19" s="44"/>
      <c r="D19" s="43" t="s">
        <v>189</v>
      </c>
      <c r="E19" s="43" t="s">
        <v>188</v>
      </c>
      <c r="F19" s="43" t="s">
        <v>185</v>
      </c>
    </row>
    <row r="20" spans="3:6" ht="16.5" thickBot="1">
      <c r="C20" s="42" t="s">
        <v>187</v>
      </c>
      <c r="D20" s="41">
        <f>D7^2/D13</f>
        <v>38.571428571428577</v>
      </c>
      <c r="E20" s="41">
        <f>E7^2/E13</f>
        <v>15</v>
      </c>
      <c r="F20" s="41">
        <f>SUM(D20:E20)</f>
        <v>53.571428571428577</v>
      </c>
    </row>
    <row r="21" spans="3:6" ht="16.5" thickBot="1">
      <c r="C21" s="42" t="s">
        <v>186</v>
      </c>
      <c r="D21" s="41">
        <f>D8^2/D14</f>
        <v>34.285714285714285</v>
      </c>
      <c r="E21" s="41">
        <f>E8^2/E14</f>
        <v>67.5</v>
      </c>
      <c r="F21" s="41">
        <f>SUM(D21:E21)</f>
        <v>101.78571428571428</v>
      </c>
    </row>
    <row r="22" spans="3:6" ht="16.5" thickBot="1">
      <c r="C22" s="42" t="s">
        <v>185</v>
      </c>
      <c r="D22" s="41">
        <f>SUM(D20:D21)</f>
        <v>72.857142857142861</v>
      </c>
      <c r="E22" s="41">
        <f>SUM(E20:E21)</f>
        <v>82.5</v>
      </c>
      <c r="F22" s="40">
        <f>SUM(F20:F21)</f>
        <v>155.35714285714286</v>
      </c>
    </row>
    <row r="23" spans="3:6" ht="15.75" thickBot="1"/>
    <row r="24" spans="3:6" ht="16.5" thickBot="1">
      <c r="C24" s="37" t="s">
        <v>184</v>
      </c>
      <c r="D24" s="40">
        <v>155.35714285714286</v>
      </c>
      <c r="E24" s="24" t="s">
        <v>183</v>
      </c>
      <c r="F24" s="40">
        <v>150</v>
      </c>
    </row>
    <row r="25" spans="3:6" ht="15.75">
      <c r="C25" s="37"/>
      <c r="D25" s="39"/>
      <c r="F25" s="38"/>
    </row>
    <row r="26" spans="3:6" ht="15.75">
      <c r="C26" s="37" t="s">
        <v>182</v>
      </c>
      <c r="D26" s="37" t="s">
        <v>181</v>
      </c>
      <c r="E26" s="24">
        <f>F22-F9</f>
        <v>5.3571428571428612</v>
      </c>
    </row>
    <row r="27" spans="3:6">
      <c r="C27" s="18" t="s">
        <v>180</v>
      </c>
      <c r="D27" s="24" t="s">
        <v>179</v>
      </c>
      <c r="E27" s="24">
        <v>1</v>
      </c>
    </row>
    <row r="28" spans="3:6" ht="15.75">
      <c r="C28" s="37" t="s">
        <v>178</v>
      </c>
      <c r="D28" s="24" t="s">
        <v>177</v>
      </c>
      <c r="E28" s="24">
        <v>3.8410000000000002</v>
      </c>
    </row>
    <row r="29" spans="3:6">
      <c r="C29" s="18" t="s">
        <v>176</v>
      </c>
      <c r="D29" s="24" t="s">
        <v>172</v>
      </c>
    </row>
    <row r="30" spans="3:6">
      <c r="C30" s="18" t="s">
        <v>175</v>
      </c>
      <c r="D30" s="24" t="s">
        <v>174</v>
      </c>
      <c r="E30" s="24">
        <v>2.1000000000000001E-2</v>
      </c>
    </row>
    <row r="31" spans="3:6">
      <c r="C31" s="18" t="s">
        <v>173</v>
      </c>
      <c r="D31" s="24" t="s">
        <v>172</v>
      </c>
    </row>
    <row r="33" spans="3:3">
      <c r="C33" s="18" t="s">
        <v>171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2:G160"/>
  <sheetViews>
    <sheetView zoomScale="120" zoomScaleNormal="120" workbookViewId="0">
      <selection activeCell="A2" sqref="A2"/>
    </sheetView>
  </sheetViews>
  <sheetFormatPr defaultRowHeight="15"/>
  <cols>
    <col min="1" max="1" width="9.140625" style="24"/>
    <col min="2" max="2" width="14" style="24" customWidth="1"/>
    <col min="3" max="3" width="53.42578125" style="24" customWidth="1"/>
    <col min="4" max="4" width="28.85546875" style="24" customWidth="1"/>
    <col min="5" max="5" width="27.5703125" style="24" customWidth="1"/>
    <col min="6" max="6" width="28.42578125" style="24" customWidth="1"/>
    <col min="7" max="7" width="12" style="24" customWidth="1"/>
    <col min="8" max="16384" width="9.140625" style="24"/>
  </cols>
  <sheetData>
    <row r="2" spans="1:5">
      <c r="A2" s="24" t="s">
        <v>260</v>
      </c>
    </row>
    <row r="4" spans="1:5">
      <c r="A4" s="18" t="s">
        <v>4</v>
      </c>
    </row>
    <row r="5" spans="1:5" ht="15.75" thickBot="1"/>
    <row r="6" spans="1:5" ht="15.75">
      <c r="B6" s="51" t="s">
        <v>256</v>
      </c>
      <c r="C6" s="56" t="s">
        <v>259</v>
      </c>
    </row>
    <row r="7" spans="1:5" ht="16.5" thickBot="1">
      <c r="B7" s="70">
        <v>1</v>
      </c>
      <c r="C7" s="73">
        <v>260</v>
      </c>
    </row>
    <row r="8" spans="1:5" ht="16.5" thickBot="1">
      <c r="B8" s="51">
        <v>2</v>
      </c>
      <c r="C8" s="56">
        <v>320</v>
      </c>
    </row>
    <row r="9" spans="1:5" ht="16.5" thickBot="1">
      <c r="B9" s="60">
        <v>3</v>
      </c>
      <c r="C9" s="68">
        <v>310</v>
      </c>
    </row>
    <row r="10" spans="1:5" ht="16.5" thickBot="1">
      <c r="B10" s="72">
        <v>4</v>
      </c>
      <c r="C10" s="71">
        <v>310</v>
      </c>
    </row>
    <row r="12" spans="1:5">
      <c r="B12" s="18" t="s">
        <v>258</v>
      </c>
    </row>
    <row r="13" spans="1:5">
      <c r="B13" s="18" t="s">
        <v>257</v>
      </c>
    </row>
    <row r="15" spans="1:5" ht="15.75" thickBot="1"/>
    <row r="16" spans="1:5" ht="37.5" customHeight="1">
      <c r="B16" s="51" t="s">
        <v>256</v>
      </c>
      <c r="C16" s="51" t="s">
        <v>255</v>
      </c>
      <c r="D16" s="12" t="s">
        <v>254</v>
      </c>
      <c r="E16" s="12" t="s">
        <v>208</v>
      </c>
    </row>
    <row r="17" spans="2:5" ht="16.5" thickBot="1">
      <c r="B17" s="70">
        <v>1</v>
      </c>
      <c r="C17" s="70">
        <v>260</v>
      </c>
      <c r="D17" s="12">
        <f>1200/4</f>
        <v>300</v>
      </c>
      <c r="E17" s="12">
        <f>(C17-D17)^2/D17</f>
        <v>5.333333333333333</v>
      </c>
    </row>
    <row r="18" spans="2:5" ht="16.5" thickBot="1">
      <c r="B18" s="51">
        <v>2</v>
      </c>
      <c r="C18" s="51">
        <v>320</v>
      </c>
      <c r="D18" s="12">
        <f>1200/4</f>
        <v>300</v>
      </c>
      <c r="E18" s="12">
        <f>(C18-D18)^2/D18</f>
        <v>1.3333333333333333</v>
      </c>
    </row>
    <row r="19" spans="2:5" ht="16.5" thickBot="1">
      <c r="B19" s="60">
        <v>3</v>
      </c>
      <c r="C19" s="60">
        <v>310</v>
      </c>
      <c r="D19" s="12">
        <f>1200/4</f>
        <v>300</v>
      </c>
      <c r="E19" s="12">
        <f>(C19-D19)^2/D19</f>
        <v>0.33333333333333331</v>
      </c>
    </row>
    <row r="20" spans="2:5" ht="15.75">
      <c r="B20" s="70">
        <v>4</v>
      </c>
      <c r="C20" s="70">
        <v>310</v>
      </c>
      <c r="D20" s="69">
        <f>1200/4</f>
        <v>300</v>
      </c>
      <c r="E20" s="69">
        <f>(C20-D20)^2/D20</f>
        <v>0.33333333333333331</v>
      </c>
    </row>
    <row r="21" spans="2:5">
      <c r="B21" s="12" t="s">
        <v>185</v>
      </c>
      <c r="C21" s="12">
        <f>SUM(C17:C20)</f>
        <v>1200</v>
      </c>
      <c r="D21" s="12"/>
      <c r="E21" s="50">
        <f>SUM(E17:E20)</f>
        <v>7.3333333333333321</v>
      </c>
    </row>
    <row r="25" spans="2:5">
      <c r="C25" s="33" t="s">
        <v>202</v>
      </c>
      <c r="D25" s="24">
        <v>7.3333333333333321</v>
      </c>
    </row>
    <row r="26" spans="2:5">
      <c r="C26" s="24" t="s">
        <v>240</v>
      </c>
      <c r="D26" s="24">
        <v>3</v>
      </c>
    </row>
    <row r="27" spans="2:5">
      <c r="C27" s="24" t="s">
        <v>253</v>
      </c>
      <c r="D27" s="24">
        <f>CHIINV(0.05,3)</f>
        <v>7.81472776394987</v>
      </c>
    </row>
    <row r="28" spans="2:5">
      <c r="C28" s="24" t="s">
        <v>199</v>
      </c>
      <c r="D28" s="24" t="s">
        <v>252</v>
      </c>
    </row>
    <row r="30" spans="2:5">
      <c r="C30" s="24" t="s">
        <v>251</v>
      </c>
    </row>
    <row r="33" spans="1:6" ht="15.75" thickBot="1">
      <c r="A33" s="24" t="s">
        <v>26</v>
      </c>
    </row>
    <row r="34" spans="1:6" ht="16.5" thickBot="1">
      <c r="B34" s="60" t="s">
        <v>248</v>
      </c>
      <c r="C34" s="68" t="s">
        <v>247</v>
      </c>
    </row>
    <row r="35" spans="1:6" ht="16.5" thickBot="1">
      <c r="B35" s="58" t="s">
        <v>244</v>
      </c>
      <c r="C35" s="64">
        <v>110</v>
      </c>
    </row>
    <row r="36" spans="1:6" ht="16.5" thickBot="1">
      <c r="B36" s="49" t="s">
        <v>243</v>
      </c>
      <c r="C36" s="55">
        <v>95</v>
      </c>
    </row>
    <row r="37" spans="1:6" ht="16.5" thickBot="1">
      <c r="B37" s="48" t="s">
        <v>242</v>
      </c>
      <c r="C37" s="54">
        <v>70</v>
      </c>
    </row>
    <row r="38" spans="1:6" ht="16.5" thickBot="1">
      <c r="B38" s="58" t="s">
        <v>241</v>
      </c>
      <c r="C38" s="64">
        <v>125</v>
      </c>
    </row>
    <row r="41" spans="1:6">
      <c r="B41" s="18" t="s">
        <v>250</v>
      </c>
    </row>
    <row r="42" spans="1:6">
      <c r="B42" s="18" t="s">
        <v>249</v>
      </c>
    </row>
    <row r="43" spans="1:6" ht="15.75" thickBot="1"/>
    <row r="44" spans="1:6" ht="16.5" thickBot="1">
      <c r="B44" s="60" t="s">
        <v>248</v>
      </c>
      <c r="C44" s="60" t="s">
        <v>247</v>
      </c>
      <c r="D44" s="12" t="s">
        <v>246</v>
      </c>
      <c r="E44" s="12" t="s">
        <v>245</v>
      </c>
      <c r="F44" s="12" t="s">
        <v>208</v>
      </c>
    </row>
    <row r="45" spans="1:6" ht="16.5" thickBot="1">
      <c r="B45" s="58" t="s">
        <v>244</v>
      </c>
      <c r="C45" s="58">
        <v>110</v>
      </c>
      <c r="D45" s="12">
        <v>0.3</v>
      </c>
      <c r="E45" s="46">
        <f>D45*400</f>
        <v>120</v>
      </c>
      <c r="F45" s="12">
        <f>(C45-E45)^2/E45</f>
        <v>0.83333333333333337</v>
      </c>
    </row>
    <row r="46" spans="1:6" ht="16.5" thickBot="1">
      <c r="B46" s="49" t="s">
        <v>243</v>
      </c>
      <c r="C46" s="49">
        <v>95</v>
      </c>
      <c r="D46" s="12">
        <v>0.25</v>
      </c>
      <c r="E46" s="46">
        <f>D46*400</f>
        <v>100</v>
      </c>
      <c r="F46" s="12">
        <f>(C46-E46)^2/E46</f>
        <v>0.25</v>
      </c>
    </row>
    <row r="47" spans="1:6" ht="16.5" thickBot="1">
      <c r="B47" s="48" t="s">
        <v>242</v>
      </c>
      <c r="C47" s="48">
        <v>70</v>
      </c>
      <c r="D47" s="12">
        <v>0.2</v>
      </c>
      <c r="E47" s="46">
        <f>D47*400</f>
        <v>80</v>
      </c>
      <c r="F47" s="12">
        <f>(C47-E47)^2/E47</f>
        <v>1.25</v>
      </c>
    </row>
    <row r="48" spans="1:6" ht="16.5" thickBot="1">
      <c r="B48" s="58" t="s">
        <v>241</v>
      </c>
      <c r="C48" s="49">
        <v>125</v>
      </c>
      <c r="D48" s="12">
        <v>0.25</v>
      </c>
      <c r="E48" s="46">
        <f>D48*400</f>
        <v>100</v>
      </c>
      <c r="F48" s="12">
        <f>(C48-E48)^2/E48</f>
        <v>6.25</v>
      </c>
    </row>
    <row r="49" spans="1:6">
      <c r="C49" s="12">
        <f>SUM(C45:C48)</f>
        <v>400</v>
      </c>
      <c r="F49" s="12">
        <f>SUM(F45:F48)</f>
        <v>8.5833333333333339</v>
      </c>
    </row>
    <row r="51" spans="1:6">
      <c r="C51" s="33" t="s">
        <v>202</v>
      </c>
      <c r="D51" s="24">
        <v>8.5833333333333339</v>
      </c>
    </row>
    <row r="52" spans="1:6">
      <c r="C52" s="24" t="s">
        <v>240</v>
      </c>
      <c r="D52" s="24">
        <v>3</v>
      </c>
    </row>
    <row r="53" spans="1:6">
      <c r="C53" s="24" t="s">
        <v>200</v>
      </c>
      <c r="D53" s="24">
        <f>CHIINV(0.05,3)</f>
        <v>7.81472776394987</v>
      </c>
    </row>
    <row r="54" spans="1:6">
      <c r="C54" s="24" t="s">
        <v>199</v>
      </c>
      <c r="D54" s="24" t="s">
        <v>239</v>
      </c>
    </row>
    <row r="56" spans="1:6">
      <c r="C56" s="24" t="s">
        <v>238</v>
      </c>
    </row>
    <row r="59" spans="1:6">
      <c r="A59" s="24" t="s">
        <v>27</v>
      </c>
    </row>
    <row r="60" spans="1:6" ht="15.75">
      <c r="B60" s="67"/>
    </row>
    <row r="61" spans="1:6" ht="15.75" thickBot="1"/>
    <row r="62" spans="1:6" ht="32.25" thickBot="1">
      <c r="B62" s="56" t="s">
        <v>233</v>
      </c>
      <c r="C62" s="66" t="s">
        <v>220</v>
      </c>
    </row>
    <row r="63" spans="1:6" ht="16.5" thickBot="1">
      <c r="B63" s="54">
        <v>0</v>
      </c>
      <c r="C63" s="65">
        <v>20</v>
      </c>
    </row>
    <row r="64" spans="1:6" ht="16.5" thickBot="1">
      <c r="B64" s="64">
        <v>1</v>
      </c>
      <c r="C64" s="63">
        <v>25</v>
      </c>
    </row>
    <row r="65" spans="2:7" ht="16.5" thickBot="1">
      <c r="B65" s="64">
        <v>2</v>
      </c>
      <c r="C65" s="63">
        <v>15</v>
      </c>
    </row>
    <row r="66" spans="2:7" ht="16.5" thickBot="1">
      <c r="B66" s="64">
        <v>3</v>
      </c>
      <c r="C66" s="63">
        <v>7</v>
      </c>
    </row>
    <row r="67" spans="2:7" ht="16.5" thickBot="1">
      <c r="B67" s="64">
        <v>4</v>
      </c>
      <c r="C67" s="63">
        <v>3</v>
      </c>
    </row>
    <row r="69" spans="2:7">
      <c r="B69" s="24" t="s">
        <v>237</v>
      </c>
    </row>
    <row r="70" spans="2:7">
      <c r="B70" s="24" t="s">
        <v>236</v>
      </c>
    </row>
    <row r="73" spans="2:7">
      <c r="B73" s="24" t="s">
        <v>235</v>
      </c>
    </row>
    <row r="75" spans="2:7">
      <c r="B75" s="24" t="s">
        <v>234</v>
      </c>
    </row>
    <row r="76" spans="2:7" ht="15.75" thickBot="1"/>
    <row r="77" spans="2:7" ht="32.25" thickBot="1">
      <c r="B77" s="51" t="s">
        <v>233</v>
      </c>
      <c r="C77" s="59" t="s">
        <v>220</v>
      </c>
      <c r="D77" s="12" t="s">
        <v>232</v>
      </c>
      <c r="E77" s="12" t="s">
        <v>210</v>
      </c>
      <c r="F77" s="50" t="s">
        <v>209</v>
      </c>
      <c r="G77" s="12" t="s">
        <v>208</v>
      </c>
    </row>
    <row r="78" spans="2:7" ht="16.5" thickBot="1">
      <c r="B78" s="48">
        <v>0</v>
      </c>
      <c r="C78" s="57">
        <v>20</v>
      </c>
      <c r="D78" s="12">
        <f>B78*C78</f>
        <v>0</v>
      </c>
      <c r="E78" s="12">
        <f>POISSON(B78,1.257142857,FALSE)</f>
        <v>0.28446562549108717</v>
      </c>
      <c r="F78" s="12">
        <f>E78*70</f>
        <v>19.912593784376103</v>
      </c>
      <c r="G78" s="12">
        <f>(C78-F78)^2/F78</f>
        <v>3.8366907959954424E-4</v>
      </c>
    </row>
    <row r="79" spans="2:7" ht="16.5" thickBot="1">
      <c r="B79" s="58">
        <v>1</v>
      </c>
      <c r="C79" s="57">
        <v>25</v>
      </c>
      <c r="D79" s="12">
        <f>B79*C79</f>
        <v>25</v>
      </c>
      <c r="E79" s="12">
        <f>POISSON(B79,1.257142857,FALSE)</f>
        <v>0.35761392914815732</v>
      </c>
      <c r="F79" s="12">
        <f>E79*70</f>
        <v>25.032975040371014</v>
      </c>
      <c r="G79" s="12">
        <f>(C79-F79)^2/F79</f>
        <v>4.3436838239018293E-5</v>
      </c>
    </row>
    <row r="80" spans="2:7" ht="16.5" thickBot="1">
      <c r="B80" s="58">
        <v>2</v>
      </c>
      <c r="C80" s="57">
        <v>15</v>
      </c>
      <c r="D80" s="12">
        <f>B80*C80</f>
        <v>30</v>
      </c>
      <c r="E80" s="12">
        <f>POISSON(B80,1.257142857,FALSE)</f>
        <v>0.22478589829615506</v>
      </c>
      <c r="F80" s="12">
        <f>E80*70</f>
        <v>15.735012880730855</v>
      </c>
      <c r="G80" s="12">
        <f>(C80-F80)^2/F80</f>
        <v>3.4333873059732546E-2</v>
      </c>
    </row>
    <row r="81" spans="2:7" ht="16.5" thickBot="1">
      <c r="B81" s="58">
        <v>3</v>
      </c>
      <c r="C81" s="57">
        <v>7</v>
      </c>
      <c r="D81" s="12">
        <f>B81*C81</f>
        <v>21</v>
      </c>
      <c r="E81" s="12">
        <f>POISSON(B81,1.257142857,FALSE)</f>
        <v>9.4195995465779933E-2</v>
      </c>
      <c r="F81" s="12">
        <f>E81*70</f>
        <v>6.5937196826045952</v>
      </c>
      <c r="G81" s="12">
        <f>(C81-F81)^2/F81</f>
        <v>2.503347188664666E-2</v>
      </c>
    </row>
    <row r="82" spans="2:7" ht="16.5" thickBot="1">
      <c r="B82" s="58">
        <v>4</v>
      </c>
      <c r="C82" s="57">
        <v>3</v>
      </c>
      <c r="D82" s="12">
        <f>B82*C82</f>
        <v>12</v>
      </c>
      <c r="E82" s="12">
        <f>POISSON(B82,1.257142857,FALSE)</f>
        <v>2.9604455714452412E-2</v>
      </c>
      <c r="F82" s="12">
        <f>E82*70</f>
        <v>2.0723119000116688</v>
      </c>
      <c r="G82" s="12">
        <f>(C82-F82)^2/F82</f>
        <v>0.41528749164404943</v>
      </c>
    </row>
    <row r="83" spans="2:7">
      <c r="C83" s="62">
        <f>SUM(C78:C82)</f>
        <v>70</v>
      </c>
      <c r="D83" s="62">
        <f>SUM(D78:D82)</f>
        <v>88</v>
      </c>
      <c r="E83" s="62"/>
      <c r="F83" s="62"/>
      <c r="G83" s="62">
        <f>SUM(G78:G82)</f>
        <v>0.47508194250826719</v>
      </c>
    </row>
    <row r="85" spans="2:7">
      <c r="B85" s="24" t="s">
        <v>234</v>
      </c>
      <c r="C85" s="24">
        <f>D83/C83</f>
        <v>1.2571428571428571</v>
      </c>
    </row>
    <row r="86" spans="2:7" ht="15.75" thickBot="1"/>
    <row r="87" spans="2:7" ht="32.25" thickBot="1">
      <c r="B87" s="51" t="s">
        <v>233</v>
      </c>
      <c r="C87" s="59" t="s">
        <v>220</v>
      </c>
      <c r="D87" s="12" t="s">
        <v>232</v>
      </c>
      <c r="E87" s="12" t="s">
        <v>210</v>
      </c>
      <c r="F87" s="50" t="s">
        <v>209</v>
      </c>
      <c r="G87" s="12" t="s">
        <v>208</v>
      </c>
    </row>
    <row r="88" spans="2:7" ht="16.5" thickBot="1">
      <c r="B88" s="48">
        <v>0</v>
      </c>
      <c r="C88" s="57">
        <v>20</v>
      </c>
      <c r="D88" s="12">
        <f>B88*C88</f>
        <v>0</v>
      </c>
      <c r="E88" s="12">
        <f>POISSON(B88,1.257142857,FALSE)</f>
        <v>0.28446562549108717</v>
      </c>
      <c r="F88" s="12">
        <f>E88*70</f>
        <v>19.912593784376103</v>
      </c>
      <c r="G88" s="24">
        <f>(C88-F88)^2/F88</f>
        <v>3.8366907959954424E-4</v>
      </c>
    </row>
    <row r="89" spans="2:7" ht="16.5" thickBot="1">
      <c r="B89" s="58">
        <v>1</v>
      </c>
      <c r="C89" s="57">
        <v>25</v>
      </c>
      <c r="D89" s="12">
        <f>B89*C89</f>
        <v>25</v>
      </c>
      <c r="E89" s="12">
        <f>POISSON(B89,1.257142857,FALSE)</f>
        <v>0.35761392914815732</v>
      </c>
      <c r="F89" s="12">
        <f>E89*70</f>
        <v>25.032975040371014</v>
      </c>
      <c r="G89" s="24">
        <f>(C89-F89)^2/F89</f>
        <v>4.3436838239018293E-5</v>
      </c>
    </row>
    <row r="90" spans="2:7" ht="16.5" thickBot="1">
      <c r="B90" s="58">
        <v>2</v>
      </c>
      <c r="C90" s="57">
        <v>15</v>
      </c>
      <c r="D90" s="12">
        <f>B90*C90</f>
        <v>30</v>
      </c>
      <c r="E90" s="12">
        <f>POISSON(B90,1.257142857,FALSE)</f>
        <v>0.22478589829615506</v>
      </c>
      <c r="F90" s="12">
        <f>E90*70</f>
        <v>15.735012880730855</v>
      </c>
      <c r="G90" s="24">
        <f>(C90-F90)^2/F90</f>
        <v>3.4333873059732546E-2</v>
      </c>
    </row>
    <row r="91" spans="2:7" ht="16.5" thickBot="1">
      <c r="B91" s="58">
        <v>3.5</v>
      </c>
      <c r="C91" s="57">
        <v>10</v>
      </c>
      <c r="D91" s="12">
        <f>B91*C91</f>
        <v>35</v>
      </c>
      <c r="E91" s="12">
        <f>POISSON(B91,1.257142857,FALSE)</f>
        <v>9.4195995465779933E-2</v>
      </c>
      <c r="F91" s="12">
        <f>E91*70</f>
        <v>6.5937196826045952</v>
      </c>
      <c r="G91" s="24">
        <f>(C91-F91)^2/F91</f>
        <v>1.7596661913434757</v>
      </c>
    </row>
    <row r="92" spans="2:7" ht="16.5" thickBot="1">
      <c r="B92" s="58"/>
      <c r="C92" s="57"/>
      <c r="D92" s="12"/>
      <c r="E92" s="12">
        <f>POISSON(B92,1.257142857,FALSE)</f>
        <v>0.28446562549108717</v>
      </c>
      <c r="F92" s="12"/>
      <c r="G92" s="24">
        <f>SUM(G88:G91)</f>
        <v>1.7944271703210468</v>
      </c>
    </row>
    <row r="95" spans="2:7">
      <c r="C95" s="33" t="s">
        <v>202</v>
      </c>
      <c r="D95" s="24">
        <v>1.7944271703210468</v>
      </c>
    </row>
    <row r="96" spans="2:7">
      <c r="C96" s="24" t="s">
        <v>201</v>
      </c>
      <c r="D96" s="24">
        <f>4-1-1</f>
        <v>2</v>
      </c>
    </row>
    <row r="97" spans="1:4">
      <c r="C97" s="24" t="s">
        <v>200</v>
      </c>
      <c r="D97" s="24">
        <f>CHIINV(0.05,2)</f>
        <v>5.9914645471914136</v>
      </c>
    </row>
    <row r="98" spans="1:4">
      <c r="C98" s="24" t="s">
        <v>199</v>
      </c>
      <c r="D98" s="24" t="s">
        <v>231</v>
      </c>
    </row>
    <row r="101" spans="1:4" ht="15.75" thickBot="1"/>
    <row r="102" spans="1:4" ht="48" thickBot="1">
      <c r="A102" s="24" t="s">
        <v>230</v>
      </c>
      <c r="B102" s="60" t="s">
        <v>221</v>
      </c>
      <c r="C102" s="60" t="s">
        <v>220</v>
      </c>
      <c r="D102" s="12" t="s">
        <v>229</v>
      </c>
    </row>
    <row r="103" spans="1:4" ht="16.5" thickBot="1">
      <c r="B103" s="58">
        <v>0</v>
      </c>
      <c r="C103" s="58">
        <v>20</v>
      </c>
      <c r="D103" s="12">
        <f>B103*C103</f>
        <v>0</v>
      </c>
    </row>
    <row r="104" spans="1:4" ht="16.5" thickBot="1">
      <c r="B104" s="58">
        <v>1</v>
      </c>
      <c r="C104" s="58">
        <v>40</v>
      </c>
      <c r="D104" s="12">
        <f>B104*C104</f>
        <v>40</v>
      </c>
    </row>
    <row r="105" spans="1:4" ht="16.5" thickBot="1">
      <c r="B105" s="58">
        <v>2</v>
      </c>
      <c r="C105" s="58">
        <v>30</v>
      </c>
      <c r="D105" s="12">
        <f>B105*C105</f>
        <v>60</v>
      </c>
    </row>
    <row r="106" spans="1:4" ht="16.5" thickBot="1">
      <c r="B106" s="58">
        <v>3</v>
      </c>
      <c r="C106" s="58">
        <v>10</v>
      </c>
      <c r="D106" s="12">
        <f>B106*C106</f>
        <v>30</v>
      </c>
    </row>
    <row r="107" spans="1:4">
      <c r="D107" s="12">
        <f>SUM(D103:D106)</f>
        <v>130</v>
      </c>
    </row>
    <row r="108" spans="1:4">
      <c r="A108" s="24" t="s">
        <v>228</v>
      </c>
      <c r="D108" s="61"/>
    </row>
    <row r="109" spans="1:4">
      <c r="D109" s="61"/>
    </row>
    <row r="110" spans="1:4">
      <c r="A110" s="24" t="s">
        <v>227</v>
      </c>
      <c r="D110" s="61"/>
    </row>
    <row r="111" spans="1:4">
      <c r="D111" s="61"/>
    </row>
    <row r="112" spans="1:4">
      <c r="B112" s="18" t="s">
        <v>226</v>
      </c>
    </row>
    <row r="114" spans="2:6">
      <c r="B114" s="18" t="s">
        <v>225</v>
      </c>
    </row>
    <row r="116" spans="2:6">
      <c r="B116" s="24" t="s">
        <v>224</v>
      </c>
      <c r="D116" s="24">
        <f>100*3</f>
        <v>300</v>
      </c>
    </row>
    <row r="118" spans="2:6">
      <c r="C118" s="24" t="s">
        <v>223</v>
      </c>
      <c r="D118" s="24">
        <f>D107/D116</f>
        <v>0.43333333333333335</v>
      </c>
    </row>
    <row r="119" spans="2:6">
      <c r="C119" s="24" t="s">
        <v>222</v>
      </c>
      <c r="D119" s="24">
        <f>1-D118</f>
        <v>0.56666666666666665</v>
      </c>
    </row>
    <row r="120" spans="2:6" ht="15.75" thickBot="1"/>
    <row r="121" spans="2:6" ht="48" thickBot="1">
      <c r="B121" s="60" t="s">
        <v>221</v>
      </c>
      <c r="C121" s="59" t="s">
        <v>220</v>
      </c>
      <c r="D121" s="12" t="s">
        <v>210</v>
      </c>
      <c r="E121" s="50" t="s">
        <v>209</v>
      </c>
      <c r="F121" s="12" t="s">
        <v>208</v>
      </c>
    </row>
    <row r="122" spans="2:6" ht="16.5" thickBot="1">
      <c r="B122" s="58">
        <v>0</v>
      </c>
      <c r="C122" s="57">
        <v>20</v>
      </c>
      <c r="D122" s="46">
        <f>BINOMDIST(B122,3,0.43333,FALSE)</f>
        <v>0.18196617409296301</v>
      </c>
      <c r="E122" s="12">
        <f>100*D122</f>
        <v>18.196617409296302</v>
      </c>
      <c r="F122" s="12">
        <f>(C122-E122)^2/E122</f>
        <v>0.17872490778377867</v>
      </c>
    </row>
    <row r="123" spans="2:6" ht="16.5" thickBot="1">
      <c r="B123" s="58">
        <v>1</v>
      </c>
      <c r="C123" s="57">
        <v>40</v>
      </c>
      <c r="D123" s="46">
        <f>BINOMDIST(B123,3,0.43333,FALSE)</f>
        <v>0.417446144421111</v>
      </c>
      <c r="E123" s="12">
        <f>100*D123</f>
        <v>41.7446144421111</v>
      </c>
      <c r="F123" s="12">
        <f>(C123-E123)^2/E123</f>
        <v>7.291190953131009E-2</v>
      </c>
    </row>
    <row r="124" spans="2:6" ht="16.5" thickBot="1">
      <c r="B124" s="58">
        <v>2</v>
      </c>
      <c r="C124" s="57">
        <v>30</v>
      </c>
      <c r="D124" s="46">
        <f>BINOMDIST(B124,3,0.43333,FALSE)</f>
        <v>0.319219188878889</v>
      </c>
      <c r="E124" s="12">
        <f>100*D124</f>
        <v>31.9219188878889</v>
      </c>
      <c r="F124" s="12">
        <f>(C124-E124)^2/E124</f>
        <v>0.1157127246828985</v>
      </c>
    </row>
    <row r="125" spans="2:6" ht="16.5" thickBot="1">
      <c r="B125" s="58">
        <v>3</v>
      </c>
      <c r="C125" s="57">
        <v>10</v>
      </c>
      <c r="D125" s="46">
        <f>BINOMDIST(B125,3,0.43333,FALSE)</f>
        <v>8.1368492607037018E-2</v>
      </c>
      <c r="E125" s="12">
        <f>100*D125</f>
        <v>8.136849260703702</v>
      </c>
      <c r="F125" s="12">
        <f>(C125-E125)^2/E125</f>
        <v>0.42661853084889639</v>
      </c>
    </row>
    <row r="126" spans="2:6">
      <c r="C126" s="12">
        <f>SUM(C122:C125)</f>
        <v>100</v>
      </c>
      <c r="E126" s="12">
        <f>SUM(E122:E125)</f>
        <v>100</v>
      </c>
      <c r="F126" s="12">
        <f>SUM(F122:F125)</f>
        <v>0.79396807284688364</v>
      </c>
    </row>
    <row r="128" spans="2:6">
      <c r="C128" s="33" t="s">
        <v>202</v>
      </c>
      <c r="D128" s="12">
        <v>0.79396807284688364</v>
      </c>
    </row>
    <row r="129" spans="1:4">
      <c r="C129" s="24" t="s">
        <v>201</v>
      </c>
      <c r="D129" s="24">
        <f>4-1-1</f>
        <v>2</v>
      </c>
    </row>
    <row r="130" spans="1:4">
      <c r="C130" s="24" t="s">
        <v>200</v>
      </c>
      <c r="D130" s="24">
        <f>CHIINV(0.05,2)</f>
        <v>5.9914645471914136</v>
      </c>
    </row>
    <row r="131" spans="1:4">
      <c r="C131" s="24" t="s">
        <v>199</v>
      </c>
      <c r="D131" s="24" t="s">
        <v>219</v>
      </c>
    </row>
    <row r="132" spans="1:4">
      <c r="C132" s="24" t="s">
        <v>197</v>
      </c>
    </row>
    <row r="136" spans="1:4" ht="15.75" thickBot="1">
      <c r="A136" s="24" t="s">
        <v>33</v>
      </c>
    </row>
    <row r="137" spans="1:4" ht="16.5" thickBot="1">
      <c r="B137" s="51" t="s">
        <v>212</v>
      </c>
      <c r="C137" s="56" t="s">
        <v>211</v>
      </c>
    </row>
    <row r="138" spans="1:4" ht="16.5" thickBot="1">
      <c r="B138" s="48" t="s">
        <v>207</v>
      </c>
      <c r="C138" s="54">
        <v>10</v>
      </c>
    </row>
    <row r="139" spans="1:4" ht="16.5" thickBot="1">
      <c r="B139" s="49" t="s">
        <v>206</v>
      </c>
      <c r="C139" s="55">
        <v>30</v>
      </c>
    </row>
    <row r="140" spans="1:4" ht="16.5" thickBot="1">
      <c r="B140" s="48" t="s">
        <v>205</v>
      </c>
      <c r="C140" s="54">
        <v>70</v>
      </c>
    </row>
    <row r="141" spans="1:4" ht="16.5" thickBot="1">
      <c r="B141" s="49" t="s">
        <v>204</v>
      </c>
      <c r="C141" s="55">
        <v>60</v>
      </c>
    </row>
    <row r="142" spans="1:4" ht="16.5" thickBot="1">
      <c r="B142" s="48" t="s">
        <v>203</v>
      </c>
      <c r="C142" s="54">
        <v>30</v>
      </c>
    </row>
    <row r="143" spans="1:4" ht="15.75">
      <c r="B143" s="53"/>
      <c r="C143" s="53"/>
    </row>
    <row r="144" spans="1:4" ht="15.75">
      <c r="B144" s="53" t="s">
        <v>218</v>
      </c>
      <c r="C144" s="24" t="s">
        <v>217</v>
      </c>
    </row>
    <row r="145" spans="2:6" ht="15.75">
      <c r="B145" s="52" t="s">
        <v>216</v>
      </c>
      <c r="C145" s="24" t="s">
        <v>215</v>
      </c>
    </row>
    <row r="146" spans="2:6">
      <c r="C146" s="24" t="s">
        <v>214</v>
      </c>
    </row>
    <row r="147" spans="2:6" ht="15.75" thickBot="1">
      <c r="C147" s="24" t="s">
        <v>213</v>
      </c>
    </row>
    <row r="148" spans="2:6" ht="16.5" thickBot="1">
      <c r="B148" s="51" t="s">
        <v>212</v>
      </c>
      <c r="C148" s="51" t="s">
        <v>211</v>
      </c>
      <c r="D148" s="12" t="s">
        <v>210</v>
      </c>
      <c r="E148" s="50" t="s">
        <v>209</v>
      </c>
      <c r="F148" s="12" t="s">
        <v>208</v>
      </c>
    </row>
    <row r="149" spans="2:6" ht="16.5" thickBot="1">
      <c r="B149" s="48" t="s">
        <v>207</v>
      </c>
      <c r="C149" s="48">
        <v>10</v>
      </c>
      <c r="D149" s="12">
        <f>NORMDIST(20,55,20,TRUE) - NORMDIST(0,55,20,TRUE)</f>
        <v>3.7079393628762558E-2</v>
      </c>
      <c r="E149" s="12">
        <f>D149*200</f>
        <v>7.4158787257525116</v>
      </c>
      <c r="F149" s="12">
        <f>(C149-E149)^2/E149</f>
        <v>0.90045738434602818</v>
      </c>
    </row>
    <row r="150" spans="2:6" ht="16.5" thickBot="1">
      <c r="B150" s="49" t="s">
        <v>206</v>
      </c>
      <c r="C150" s="49">
        <v>30</v>
      </c>
      <c r="D150" s="12">
        <f>NORMDIST(40,55,20,TRUE) - NORMDIST(20,55,20,TRUE)</f>
        <v>0.18656819551305115</v>
      </c>
      <c r="E150" s="12">
        <f>D150*200</f>
        <v>37.313639102610232</v>
      </c>
      <c r="F150" s="12">
        <f>(C150-E150)^2/E150</f>
        <v>1.4335057691943967</v>
      </c>
    </row>
    <row r="151" spans="2:6" ht="16.5" thickBot="1">
      <c r="B151" s="48" t="s">
        <v>205</v>
      </c>
      <c r="C151" s="48">
        <v>70</v>
      </c>
      <c r="D151" s="12">
        <f>NORMDIST(60,55,20,TRUE) - NORMDIST(40,55,20,TRUE)</f>
        <v>0.37207897330605544</v>
      </c>
      <c r="E151" s="12">
        <f>D151*200</f>
        <v>74.415794661211095</v>
      </c>
      <c r="F151" s="12">
        <f>(C151-E151)^2/E151</f>
        <v>0.26203096504920215</v>
      </c>
    </row>
    <row r="152" spans="2:6" ht="16.5" thickBot="1">
      <c r="B152" s="49" t="s">
        <v>204</v>
      </c>
      <c r="C152" s="49">
        <v>60</v>
      </c>
      <c r="D152" s="12">
        <f>NORMDIST(80,55,20,TRUE) - NORMDIST(60,55,20,TRUE)</f>
        <v>0.29564390065022095</v>
      </c>
      <c r="E152" s="46">
        <f>D152*200</f>
        <v>59.128780130044191</v>
      </c>
      <c r="F152" s="12">
        <f>(C152-E152)^2/E152</f>
        <v>1.2836795552630469E-2</v>
      </c>
    </row>
    <row r="153" spans="2:6" ht="16.5" thickBot="1">
      <c r="B153" s="48" t="s">
        <v>203</v>
      </c>
      <c r="C153" s="47">
        <v>30</v>
      </c>
      <c r="D153" s="12">
        <f>NORMDIST(100,55,20,TRUE) - NORMDIST(80,55,20,TRUE)</f>
        <v>9.342530101181068E-2</v>
      </c>
      <c r="E153" s="46">
        <f>D153*200</f>
        <v>18.685060202362138</v>
      </c>
      <c r="F153" s="12">
        <f>(C153-E153)^2/E153</f>
        <v>6.8518838707291971</v>
      </c>
    </row>
    <row r="154" spans="2:6">
      <c r="C154" s="12">
        <f>SUM(C149:C153)</f>
        <v>200</v>
      </c>
      <c r="F154" s="12">
        <f>SUM(F149:F153)</f>
        <v>9.4607147848714543</v>
      </c>
    </row>
    <row r="156" spans="2:6">
      <c r="C156" s="33" t="s">
        <v>202</v>
      </c>
      <c r="D156" s="12">
        <v>9.4607147848714543</v>
      </c>
    </row>
    <row r="157" spans="2:6">
      <c r="C157" s="24" t="s">
        <v>201</v>
      </c>
      <c r="D157" s="24">
        <f>5-2-1</f>
        <v>2</v>
      </c>
    </row>
    <row r="158" spans="2:6">
      <c r="C158" s="24" t="s">
        <v>200</v>
      </c>
      <c r="D158" s="24">
        <f>CHIINV(0.05,2)</f>
        <v>5.9914645471914136</v>
      </c>
    </row>
    <row r="159" spans="2:6">
      <c r="C159" s="24" t="s">
        <v>199</v>
      </c>
      <c r="D159" s="24" t="s">
        <v>198</v>
      </c>
    </row>
    <row r="160" spans="2:6">
      <c r="C160" s="24" t="s">
        <v>197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2:H39"/>
  <sheetViews>
    <sheetView tabSelected="1" workbookViewId="0">
      <selection activeCell="M27" sqref="M27"/>
    </sheetView>
  </sheetViews>
  <sheetFormatPr defaultRowHeight="15"/>
  <cols>
    <col min="3" max="3" width="19.140625" customWidth="1"/>
    <col min="4" max="4" width="14.7109375" customWidth="1"/>
  </cols>
  <sheetData>
    <row r="2" spans="1:8" ht="15.75">
      <c r="H2" s="8" t="s">
        <v>270</v>
      </c>
    </row>
    <row r="3" spans="1:8" ht="15.75">
      <c r="H3" s="74" t="s">
        <v>271</v>
      </c>
    </row>
    <row r="4" spans="1:8">
      <c r="H4" s="75"/>
    </row>
    <row r="5" spans="1:8" ht="15.75">
      <c r="A5" s="24" t="s">
        <v>100</v>
      </c>
      <c r="B5" s="24" t="s">
        <v>277</v>
      </c>
      <c r="H5" s="76" t="s">
        <v>272</v>
      </c>
    </row>
    <row r="6" spans="1:8" ht="18.75">
      <c r="B6">
        <v>42</v>
      </c>
      <c r="H6" s="76" t="s">
        <v>273</v>
      </c>
    </row>
    <row r="7" spans="1:8" ht="18.75">
      <c r="B7">
        <v>45</v>
      </c>
      <c r="H7" s="76" t="s">
        <v>274</v>
      </c>
    </row>
    <row r="8" spans="1:8" ht="15.75">
      <c r="B8">
        <v>40</v>
      </c>
      <c r="H8" s="76" t="s">
        <v>275</v>
      </c>
    </row>
    <row r="9" spans="1:8" ht="15.75">
      <c r="B9">
        <v>44</v>
      </c>
      <c r="H9" s="76" t="s">
        <v>276</v>
      </c>
    </row>
    <row r="10" spans="1:8">
      <c r="B10">
        <v>43</v>
      </c>
    </row>
    <row r="11" spans="1:8">
      <c r="B11">
        <v>41</v>
      </c>
    </row>
    <row r="12" spans="1:8">
      <c r="B12">
        <v>46</v>
      </c>
    </row>
    <row r="13" spans="1:8">
      <c r="B13">
        <v>44</v>
      </c>
    </row>
    <row r="16" spans="1:8">
      <c r="B16" s="24" t="s">
        <v>278</v>
      </c>
      <c r="D16" s="24" t="s">
        <v>279</v>
      </c>
      <c r="E16">
        <f>AVERAGE(B6:B13)</f>
        <v>43.125</v>
      </c>
    </row>
    <row r="17" spans="2:4">
      <c r="B17" s="24" t="s">
        <v>280</v>
      </c>
    </row>
    <row r="18" spans="2:4">
      <c r="B18" s="24" t="s">
        <v>127</v>
      </c>
      <c r="C18" t="s">
        <v>281</v>
      </c>
    </row>
    <row r="19" spans="2:4">
      <c r="B19" s="24">
        <v>42</v>
      </c>
      <c r="C19">
        <f>(B19-43.125)^2</f>
        <v>1.265625</v>
      </c>
    </row>
    <row r="20" spans="2:4">
      <c r="B20" s="24">
        <v>45</v>
      </c>
      <c r="C20" s="24">
        <f t="shared" ref="C20:C26" si="0">(B20-43.125)^2</f>
        <v>3.515625</v>
      </c>
    </row>
    <row r="21" spans="2:4">
      <c r="B21" s="24">
        <v>40</v>
      </c>
      <c r="C21" s="24">
        <f t="shared" si="0"/>
        <v>9.765625</v>
      </c>
    </row>
    <row r="22" spans="2:4">
      <c r="B22" s="24">
        <v>44</v>
      </c>
      <c r="C22" s="24">
        <f t="shared" si="0"/>
        <v>0.765625</v>
      </c>
    </row>
    <row r="23" spans="2:4">
      <c r="B23" s="24">
        <v>43</v>
      </c>
      <c r="C23" s="24">
        <f t="shared" si="0"/>
        <v>1.5625E-2</v>
      </c>
    </row>
    <row r="24" spans="2:4">
      <c r="B24" s="24">
        <v>41</v>
      </c>
      <c r="C24" s="24">
        <f t="shared" si="0"/>
        <v>4.515625</v>
      </c>
    </row>
    <row r="25" spans="2:4">
      <c r="B25" s="24">
        <v>46</v>
      </c>
      <c r="C25" s="24">
        <f t="shared" si="0"/>
        <v>8.265625</v>
      </c>
    </row>
    <row r="26" spans="2:4">
      <c r="B26" s="24">
        <v>44</v>
      </c>
      <c r="C26" s="24">
        <f t="shared" si="0"/>
        <v>0.765625</v>
      </c>
    </row>
    <row r="27" spans="2:4">
      <c r="C27">
        <f>SUM(C19:C26)</f>
        <v>28.875</v>
      </c>
    </row>
    <row r="29" spans="2:4">
      <c r="B29" s="24" t="s">
        <v>282</v>
      </c>
      <c r="D29" s="24">
        <v>28.875</v>
      </c>
    </row>
    <row r="31" spans="2:4">
      <c r="B31" s="24" t="s">
        <v>283</v>
      </c>
    </row>
    <row r="33" spans="3:6">
      <c r="C33" t="s">
        <v>284</v>
      </c>
      <c r="E33" s="24" t="s">
        <v>285</v>
      </c>
    </row>
    <row r="35" spans="3:6">
      <c r="D35" s="24" t="s">
        <v>286</v>
      </c>
      <c r="F35">
        <f>D29/7</f>
        <v>4.125</v>
      </c>
    </row>
    <row r="37" spans="3:6">
      <c r="C37" s="24" t="s">
        <v>284</v>
      </c>
      <c r="E37">
        <f>(7*F35)/4</f>
        <v>7.21875</v>
      </c>
    </row>
    <row r="39" spans="3:6">
      <c r="C39" s="24" t="s">
        <v>288</v>
      </c>
      <c r="D39" s="24" t="s">
        <v>287</v>
      </c>
      <c r="F39">
        <f>CHIINV(0.05,7)</f>
        <v>14.067140433005996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3:C31"/>
  <sheetViews>
    <sheetView workbookViewId="0">
      <selection activeCell="A3" sqref="A3:F31"/>
    </sheetView>
  </sheetViews>
  <sheetFormatPr defaultRowHeight="15"/>
  <cols>
    <col min="1" max="16384" width="9.140625" style="24"/>
  </cols>
  <sheetData>
    <row r="3" spans="1:3" ht="21">
      <c r="B3" s="28" t="s">
        <v>269</v>
      </c>
    </row>
    <row r="4" spans="1:3" ht="15.75">
      <c r="A4" s="24" t="s">
        <v>4</v>
      </c>
      <c r="B4" s="8"/>
    </row>
    <row r="5" spans="1:3" ht="15.75">
      <c r="B5" s="8" t="s">
        <v>268</v>
      </c>
      <c r="C5" s="24" t="s">
        <v>267</v>
      </c>
    </row>
    <row r="6" spans="1:3">
      <c r="B6" s="24">
        <v>6.4</v>
      </c>
      <c r="C6" s="24">
        <v>6.9</v>
      </c>
    </row>
    <row r="7" spans="1:3">
      <c r="B7" s="24">
        <v>6.8</v>
      </c>
      <c r="C7" s="24">
        <v>6.5</v>
      </c>
    </row>
    <row r="8" spans="1:3">
      <c r="B8" s="24">
        <v>7.2</v>
      </c>
      <c r="C8" s="24">
        <v>6.6</v>
      </c>
    </row>
    <row r="9" spans="1:3">
      <c r="B9" s="24">
        <v>6.6</v>
      </c>
      <c r="C9" s="24">
        <v>7.4</v>
      </c>
    </row>
    <row r="10" spans="1:3">
      <c r="B10" s="24">
        <v>7.1</v>
      </c>
      <c r="C10" s="24">
        <v>6.2</v>
      </c>
    </row>
    <row r="11" spans="1:3">
      <c r="B11" s="24">
        <v>7</v>
      </c>
      <c r="C11" s="24">
        <v>6.8</v>
      </c>
    </row>
    <row r="12" spans="1:3">
      <c r="B12" s="24">
        <v>6.5</v>
      </c>
      <c r="C12" s="24">
        <v>7</v>
      </c>
    </row>
    <row r="13" spans="1:3">
      <c r="B13" s="24">
        <v>7.1</v>
      </c>
      <c r="C13" s="24">
        <v>7.3</v>
      </c>
    </row>
    <row r="14" spans="1:3">
      <c r="B14" s="24">
        <v>6.9</v>
      </c>
      <c r="C14" s="24">
        <v>7.1</v>
      </c>
    </row>
    <row r="15" spans="1:3">
      <c r="B15" s="24">
        <v>7.3</v>
      </c>
      <c r="C15" s="24">
        <v>7.2</v>
      </c>
    </row>
    <row r="16" spans="1:3">
      <c r="C16" s="24">
        <v>6.4</v>
      </c>
    </row>
    <row r="17" spans="2:3">
      <c r="C17" s="24">
        <v>6.7</v>
      </c>
    </row>
    <row r="20" spans="2:3">
      <c r="B20" s="24" t="s">
        <v>266</v>
      </c>
      <c r="C20" s="24">
        <f>VAR(B6:B15)</f>
        <v>9.4333333333319544E-2</v>
      </c>
    </row>
    <row r="21" spans="2:3">
      <c r="B21" s="24" t="s">
        <v>265</v>
      </c>
      <c r="C21" s="24">
        <f>VAR(C6:C17)</f>
        <v>0.14083333333333445</v>
      </c>
    </row>
    <row r="24" spans="2:3">
      <c r="B24" s="24" t="s">
        <v>264</v>
      </c>
    </row>
    <row r="26" spans="2:3">
      <c r="B26" s="24">
        <f>C21/C20</f>
        <v>1.4929328621910427</v>
      </c>
    </row>
    <row r="28" spans="2:3">
      <c r="B28" s="24" t="s">
        <v>263</v>
      </c>
      <c r="C28" s="24">
        <f>FINV(0.05,11,9)</f>
        <v>3.1024854076602271</v>
      </c>
    </row>
    <row r="29" spans="2:3">
      <c r="B29" s="18" t="s">
        <v>262</v>
      </c>
    </row>
    <row r="31" spans="2:3">
      <c r="B31" s="24" t="s">
        <v>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Pract_1</vt:lpstr>
      <vt:lpstr>Pract_2</vt:lpstr>
      <vt:lpstr>Pract_3</vt:lpstr>
      <vt:lpstr>Pract_4</vt:lpstr>
      <vt:lpstr>PRACT_5</vt:lpstr>
      <vt:lpstr>Pract-6</vt:lpstr>
      <vt:lpstr>Pract-7</vt:lpstr>
      <vt:lpstr>Pract-8</vt:lpstr>
      <vt:lpstr>Pract-9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Prajakta Kamthe</dc:creator>
  <cp:lastModifiedBy>Admin</cp:lastModifiedBy>
  <dcterms:created xsi:type="dcterms:W3CDTF">2025-11-11T13:12:14Z</dcterms:created>
  <dcterms:modified xsi:type="dcterms:W3CDTF">2026-03-07T03:33:22Z</dcterms:modified>
</cp:coreProperties>
</file>